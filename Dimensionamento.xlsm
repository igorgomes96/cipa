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igomesol\Documents\Projetos\cipa\cipa\"/>
    </mc:Choice>
  </mc:AlternateContent>
  <bookViews>
    <workbookView xWindow="-120" yWindow="-120" windowWidth="20736" windowHeight="11316" activeTab="2"/>
  </bookViews>
  <sheets>
    <sheet name="Tabela" sheetId="1" r:id="rId1"/>
    <sheet name="Dimensionamento" sheetId="4" r:id="rId2"/>
    <sheet name="Grupos" sheetId="2" r:id="rId3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6" i="2" l="1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Q92" i="1"/>
  <c r="Q90" i="1"/>
  <c r="Q88" i="1"/>
  <c r="Q86" i="1"/>
  <c r="Q84" i="1"/>
  <c r="Q82" i="1"/>
  <c r="Q80" i="1"/>
  <c r="Q78" i="1"/>
  <c r="Q76" i="1"/>
  <c r="Q74" i="1"/>
  <c r="Q72" i="1"/>
  <c r="Q70" i="1"/>
  <c r="Q68" i="1"/>
  <c r="Q66" i="1"/>
  <c r="Q64" i="1"/>
  <c r="Q62" i="1"/>
  <c r="Q60" i="1"/>
  <c r="Q58" i="1"/>
  <c r="Q56" i="1"/>
  <c r="Q54" i="1"/>
  <c r="Q52" i="1"/>
  <c r="Q50" i="1"/>
  <c r="Q48" i="1"/>
  <c r="Q46" i="1"/>
  <c r="Q44" i="1"/>
  <c r="Q42" i="1"/>
  <c r="Q40" i="1"/>
  <c r="Q38" i="1"/>
  <c r="Q36" i="1"/>
  <c r="Q34" i="1"/>
  <c r="Q32" i="1"/>
  <c r="Q30" i="1"/>
  <c r="Q28" i="1"/>
  <c r="Q26" i="1"/>
  <c r="Q24" i="1"/>
  <c r="Q22" i="1"/>
  <c r="Q20" i="1"/>
  <c r="Q18" i="1"/>
  <c r="Q16" i="1"/>
  <c r="Q14" i="1"/>
  <c r="Q12" i="1"/>
  <c r="Q10" i="1"/>
  <c r="Q8" i="1"/>
  <c r="Q6" i="1"/>
  <c r="Q4" i="1"/>
  <c r="Q91" i="1"/>
  <c r="Q89" i="1"/>
  <c r="Q87" i="1"/>
  <c r="Q85" i="1"/>
  <c r="Q83" i="1"/>
  <c r="Q81" i="1"/>
  <c r="Q79" i="1"/>
  <c r="Q77" i="1"/>
  <c r="Q75" i="1"/>
  <c r="Q73" i="1"/>
  <c r="Q71" i="1"/>
  <c r="Q69" i="1"/>
  <c r="Q67" i="1"/>
  <c r="Q65" i="1"/>
  <c r="Q63" i="1"/>
  <c r="Q61" i="1"/>
  <c r="Q59" i="1"/>
  <c r="Q57" i="1"/>
  <c r="Q55" i="1"/>
  <c r="Q53" i="1"/>
  <c r="Q51" i="1"/>
  <c r="Q49" i="1"/>
  <c r="Q47" i="1"/>
  <c r="Q45" i="1"/>
  <c r="Q43" i="1"/>
  <c r="Q41" i="1"/>
  <c r="Q39" i="1"/>
  <c r="Q37" i="1"/>
  <c r="Q35" i="1"/>
  <c r="Q33" i="1"/>
  <c r="Q31" i="1"/>
  <c r="Q29" i="1"/>
  <c r="Q27" i="1"/>
  <c r="Q25" i="1"/>
  <c r="Q23" i="1"/>
  <c r="Q21" i="1"/>
  <c r="Q19" i="1"/>
  <c r="Q17" i="1"/>
  <c r="Q15" i="1"/>
  <c r="Q13" i="1"/>
  <c r="Q11" i="1"/>
  <c r="Q9" i="1"/>
  <c r="Q7" i="1"/>
  <c r="Q5" i="1"/>
  <c r="Q3" i="1"/>
</calcChain>
</file>

<file path=xl/comments1.xml><?xml version="1.0" encoding="utf-8"?>
<comments xmlns="http://schemas.openxmlformats.org/spreadsheetml/2006/main">
  <authors>
    <author>Igor Gomes</author>
  </authors>
  <commentList>
    <comment ref="P2" authorId="0" shapeId="0">
      <text>
        <r>
          <rPr>
            <b/>
            <sz val="9"/>
            <color indexed="81"/>
            <rFont val="Segoe UI"/>
            <family val="2"/>
          </rPr>
          <t>Igor Gomes:</t>
        </r>
        <r>
          <rPr>
            <sz val="9"/>
            <color indexed="81"/>
            <rFont val="Segoe UI"/>
            <family val="2"/>
          </rPr>
          <t xml:space="preserve">
A cada grupo de 2500, acrescentar...</t>
        </r>
      </text>
    </comment>
  </commentList>
</comments>
</file>

<file path=xl/sharedStrings.xml><?xml version="1.0" encoding="utf-8"?>
<sst xmlns="http://schemas.openxmlformats.org/spreadsheetml/2006/main" count="593" uniqueCount="415">
  <si>
    <t>C-1</t>
  </si>
  <si>
    <t>C-1a</t>
  </si>
  <si>
    <t>C-2</t>
  </si>
  <si>
    <t xml:space="preserve">Efetivos </t>
  </si>
  <si>
    <t xml:space="preserve">Suplentes </t>
  </si>
  <si>
    <t>C-3</t>
  </si>
  <si>
    <t>C-3a</t>
  </si>
  <si>
    <t>C-4</t>
  </si>
  <si>
    <t>C-5</t>
  </si>
  <si>
    <t>C-5a</t>
  </si>
  <si>
    <t>C-6</t>
  </si>
  <si>
    <t>C-7</t>
  </si>
  <si>
    <t>C-7a</t>
  </si>
  <si>
    <t>C-8</t>
  </si>
  <si>
    <t>C-9</t>
  </si>
  <si>
    <t>C-10</t>
  </si>
  <si>
    <t>C-11</t>
  </si>
  <si>
    <t>C-12</t>
  </si>
  <si>
    <t>C-13</t>
  </si>
  <si>
    <t>C-14</t>
  </si>
  <si>
    <t>C-14a</t>
  </si>
  <si>
    <t>C-15</t>
  </si>
  <si>
    <t>C-16</t>
  </si>
  <si>
    <t>C-17</t>
  </si>
  <si>
    <t>C-18</t>
  </si>
  <si>
    <t>C-18a</t>
  </si>
  <si>
    <t>C-19</t>
  </si>
  <si>
    <t>C-20</t>
  </si>
  <si>
    <t>C-21</t>
  </si>
  <si>
    <t>C-22</t>
  </si>
  <si>
    <t>C-23</t>
  </si>
  <si>
    <t>C-24</t>
  </si>
  <si>
    <t>C-24a</t>
  </si>
  <si>
    <t>C-24b</t>
  </si>
  <si>
    <t>C-24c</t>
  </si>
  <si>
    <t>C-24d</t>
  </si>
  <si>
    <t>C-25</t>
  </si>
  <si>
    <t>C-26</t>
  </si>
  <si>
    <t>C-27</t>
  </si>
  <si>
    <t>C-28</t>
  </si>
  <si>
    <t>C-29</t>
  </si>
  <si>
    <t>C-30</t>
  </si>
  <si>
    <t>C-31</t>
  </si>
  <si>
    <t>C-32</t>
  </si>
  <si>
    <t>C-33</t>
  </si>
  <si>
    <t>C-34</t>
  </si>
  <si>
    <t>C-35</t>
  </si>
  <si>
    <t>new Dimensionamento { Id = 2, GrupoId = 1, Minimo = 20, Maximo = 50, QtdaEfetivos = 1, QtdaSuplentes = 1 },</t>
  </si>
  <si>
    <t>new Dimensionamento { Id = 3, GrupoId = 1, Minimo = 51, Maximo = 100, QtdaEfetivos = 3, QtdaSuplentes = 3 },</t>
  </si>
  <si>
    <t>new Dimensionamento { Id = 4, GrupoId = 1, Minimo = 101, Maximo = 500, QtdaEfetivos = 4, QtdaSuplentes = 3 },</t>
  </si>
  <si>
    <t>new Dimensionamento { Id = 5, GrupoId = 1, Minimo = 501, Maximo = 1000, QtdaEfetivos = 6, QtdaSuplentes = 4 },</t>
  </si>
  <si>
    <t>new Dimensionamento { Id = 6, GrupoId = 1, Minimo = 1001, Maximo = 2500, QtdaEfetivos = 9, QtdaSuplentes = 7 },</t>
  </si>
  <si>
    <t>new Dimensionamento { Id = 7, GrupoId = 1, Minimo = 2501, Maximo = 5000, QtdaEfetivos = 12, QtdaSuplentes = 9 },</t>
  </si>
  <si>
    <t>new Dimensionamento { Id = 1, GrupoId = , Minimo = 0, Maximo = 19, QtdaEfetivos = 0, QtdaSuplentes = 0 },</t>
  </si>
  <si>
    <t>new Dimensionamento { Id = 8, GrupoId = 1, Minimo = 5001, Maximo = 10000, QtdaEfetivos = 15, QtdaSuplentes = 12 },</t>
  </si>
  <si>
    <t>Efetivos</t>
  </si>
  <si>
    <t>Suplentes</t>
  </si>
  <si>
    <t>new Dimensionamento { Id = 9, GrupoId = 2, Minimo = 0, Maximo = 19, QtdaEfetivos = 0, QtdaSuplentes = 0 },</t>
  </si>
  <si>
    <t>new Dimensionamento { Id = 10, GrupoId = 2, Minimo = 20, Maximo = 50, QtdaEfetivos = 1, QtdaSuplentes = 1 },</t>
  </si>
  <si>
    <t>new Dimensionamento { Id = 11, GrupoId = 2, Minimo = 51, Maximo = 100, QtdaEfetivos = 3, QtdaSuplentes = 3 },</t>
  </si>
  <si>
    <t>new Dimensionamento { Id = 12, GrupoId = 2, Minimo = 101, Maximo = 300, QtdaEfetivos = 4, QtdaSuplentes = 3 },</t>
  </si>
  <si>
    <t>new Dimensionamento { Id = 13, GrupoId = 2, Minimo = 301, Maximo = 500, QtdaEfetivos = 4, QtdaSuplentes = 4 },</t>
  </si>
  <si>
    <t>new Dimensionamento { Id = 14, GrupoId = 2, Minimo = 501, Maximo = 1000, QtdaEfetivos = 6, QtdaSuplentes = 5 },</t>
  </si>
  <si>
    <t>new Dimensionamento { Id = 15, GrupoId = 2, Minimo = 1001, Maximo = 2500, QtdaEfetivos = 9, QtdaSuplentes = 8 },</t>
  </si>
  <si>
    <t>new Dimensionamento { Id = 16, GrupoId = 2, Minimo = 2501, Maximo = 5000, QtdaEfetivos = 12, QtdaSuplentes = 9 },</t>
  </si>
  <si>
    <t>new Dimensionamento { Id = 17, GrupoId = 2, Minimo = 5001, Maximo = 10000, QtdaEfetivos = 15, QtdaSuplentes = 12 },</t>
  </si>
  <si>
    <t>new Dimensionamento { Id = 18, GrupoId = 3, Minimo = 0, Maximo = 19, QtdaEfetivos = 0, QtdaSuplentes = 0 },</t>
  </si>
  <si>
    <t>new Dimensionamento { Id = 19, GrupoId = 3, Minimo = 20, Maximo = 50, QtdaEfetivos = 1, QtdaSuplentes = 1 },</t>
  </si>
  <si>
    <t>new Dimensionamento { Id = 20, GrupoId = 3, Minimo = 51, Maximo = 100, QtdaEfetivos = 2, QtdaSuplentes = 2 },</t>
  </si>
  <si>
    <t>new Dimensionamento { Id = 21, GrupoId = 3, Minimo = 101, Maximo = 120, QtdaEfetivos = 3, QtdaSuplentes = 3 },</t>
  </si>
  <si>
    <t>new Dimensionamento { Id = 22, GrupoId = 3, Minimo = 121, Maximo = 140, QtdaEfetivos = 4, QtdaSuplentes = 3 },</t>
  </si>
  <si>
    <t>new Dimensionamento { Id = 23, GrupoId = 3, Minimo = 141, Maximo = 300, QtdaEfetivos = 4, QtdaSuplentes = 4 },</t>
  </si>
  <si>
    <t>new Dimensionamento { Id = 24, GrupoId = 3, Minimo = 301, Maximo = 500, QtdaEfetivos = 5, QtdaSuplentes = 4 },</t>
  </si>
  <si>
    <t>new Dimensionamento { Id = 25, GrupoId = 3, Minimo = 501, Maximo = 1000, QtdaEfetivos = 6, QtdaSuplentes = 5 },</t>
  </si>
  <si>
    <t>new Dimensionamento { Id = 26, GrupoId = 3, Minimo = 1001, Maximo = 2500, QtdaEfetivos = 7, QtdaSuplentes = 6 },</t>
  </si>
  <si>
    <t>new Dimensionamento { Id = 27, GrupoId = 3, Minimo = 2501, Maximo = 5000, QtdaEfetivos = 10, QtdaSuplentes = 7 },</t>
  </si>
  <si>
    <t>new Dimensionamento { Id = 28, GrupoId = 3, Minimo = 5001, Maximo = 10000, QtdaEfetivos = 11, QtdaSuplentes = 9 },</t>
  </si>
  <si>
    <t>new Dimensionamento { Id = 29, GrupoId = 4, Minimo = 0, Maximo = 19, QtdaEfetivos = 0, QtdaSuplentes = 0 },</t>
  </si>
  <si>
    <t>new Dimensionamento { Id = 30, GrupoId = 4, Minimo = 20, Maximo = 50, QtdaEfetivos = 1, QtdaSuplentes = 1 },</t>
  </si>
  <si>
    <t>new Dimensionamento { Id = 31, GrupoId = 4, Minimo = 51, Maximo = 100, QtdaEfetivos = 2, QtdaSuplentes = 2 },</t>
  </si>
  <si>
    <t>new Dimensionamento { Id = 32, GrupoId = 4, Minimo = 101, Maximo = 140, QtdaEfetivos = 3, QtdaSuplentes = 3 },</t>
  </si>
  <si>
    <t>new Dimensionamento { Id = 33, GrupoId = 4, Minimo = 141, Maximo = 300, QtdaEfetivos = 4, QtdaSuplentes = 4 },</t>
  </si>
  <si>
    <t>new Dimensionamento { Id = 34, GrupoId = 4, Minimo = 301, Maximo = 500, QtdaEfetivos = 5, QtdaSuplentes = 4 },</t>
  </si>
  <si>
    <t>new Dimensionamento { Id = 35, GrupoId = 4, Minimo = 501, Maximo = 1000, QtdaEfetivos = 6, QtdaSuplentes = 5 },</t>
  </si>
  <si>
    <t>new Dimensionamento { Id = 36, GrupoId = 4, Minimo = 1001, Maximo = 2500, QtdaEfetivos = 7, QtdaSuplentes = 6 },</t>
  </si>
  <si>
    <t>new Dimensionamento { Id = 37, GrupoId = 4, Minimo = 2501, Maximo = 10000, QtdaEfetivos = 10, QtdaSuplentes = 8 },</t>
  </si>
  <si>
    <t>new Dimensionamento { Id = 38, GrupoId = 5, Minimo = 0, Maximo = 50, QtdaEfetivos = 0, QtdaSuplentes = 0 },</t>
  </si>
  <si>
    <t>new Dimensionamento { Id = 39, GrupoId = 5, Minimo = 51, Maximo = 100, QtdaEfetivos = 1, QtdaSuplentes = 1 },</t>
  </si>
  <si>
    <t>new Dimensionamento { Id = 40, GrupoId = 5, Minimo = 101, Maximo = 300, QtdaEfetivos = 2, QtdaSuplentes = 2 },</t>
  </si>
  <si>
    <t>new Dimensionamento { Id = 41, GrupoId = 5, Minimo = 301, Maximo = 1000, QtdaEfetivos = 3, QtdaSuplentes = 3 },</t>
  </si>
  <si>
    <t>new Dimensionamento { Id = 42, GrupoId = 5, Minimo = 1001, Maximo = 2500, QtdaEfetivos = 4, QtdaSuplentes = 3 },</t>
  </si>
  <si>
    <t>new Dimensionamento { Id = 43, GrupoId = 5, Minimo = 2501, Maximo = 5000, QtdaEfetivos = 5, QtdaSuplentes = 4 },</t>
  </si>
  <si>
    <t>new Dimensionamento { Id = 44, GrupoId = 5, Minimo = 5001, Maximo = 10000, QtdaEfetivos = 6, QtdaSuplentes = 5 },</t>
  </si>
  <si>
    <t>new Dimensionamento { Id = 45, GrupoId = 6, Minimo = 0, Maximo = 29, QtdaEfetivos = 0, QtdaSuplentes = 0 },</t>
  </si>
  <si>
    <t>new Dimensionamento { Id = 46, GrupoId = 6, Minimo = 30, Maximo = 140, QtdaEfetivos = 1, QtdaSuplentes = 1 },</t>
  </si>
  <si>
    <t>new Dimensionamento { Id = 47, GrupoId = 6, Minimo = 141, Maximo = 1000, QtdaEfetivos = 2, QtdaSuplentes = 2 },</t>
  </si>
  <si>
    <t>new Dimensionamento { Id = 48, GrupoId = 6, Minimo = 1001, Maximo = 2500, QtdaEfetivos = 3, QtdaSuplentes = 3 },</t>
  </si>
  <si>
    <t>new Dimensionamento { Id = 49, GrupoId = 6, Minimo = 2501, Maximo = 5000, QtdaEfetivos = 5, QtdaSuplentes = 4 },</t>
  </si>
  <si>
    <t>new Dimensionamento { Id = 50, GrupoId = 6, Minimo = 5001, Maximo = 10000, QtdaEfetivos = 6, QtdaSuplentes = 4 },</t>
  </si>
  <si>
    <t>new Dimensionamento { Id = 51, GrupoId = 7, Minimo = 0, Maximo = 19, QtdaEfetivos = 0, QtdaSuplentes = 0 },</t>
  </si>
  <si>
    <t>new Dimensionamento { Id = 52, GrupoId = 7, Minimo = 20, Maximo = 50, QtdaEfetivos = 1, QtdaSuplentes = 1 },</t>
  </si>
  <si>
    <t>new Dimensionamento { Id = 53, GrupoId = 7, Minimo = 51, Maximo = 80, QtdaEfetivos = 2, QtdaSuplentes = 2 },</t>
  </si>
  <si>
    <t>new Dimensionamento { Id = 54, GrupoId = 7, Minimo = 81, Maximo = 120, QtdaEfetivos = 3, QtdaSuplentes = 3 },</t>
  </si>
  <si>
    <t>new Dimensionamento { Id = 55, GrupoId = 7, Minimo = 121, Maximo = 140, QtdaEfetivos = 4, QtdaSuplentes = 3 },</t>
  </si>
  <si>
    <t>new Dimensionamento { Id = 56, GrupoId = 7, Minimo = 141, Maximo = 500, QtdaEfetivos = 4, QtdaSuplentes = 4 },</t>
  </si>
  <si>
    <t>new Dimensionamento { Id = 57, GrupoId = 7, Minimo = 501, Maximo = 1000, QtdaEfetivos = 6, QtdaSuplentes = 5 },</t>
  </si>
  <si>
    <t>new Dimensionamento { Id = 58, GrupoId = 7, Minimo = 1001, Maximo = 5000, QtdaEfetivos = 9, QtdaSuplentes = 7 },</t>
  </si>
  <si>
    <t>new Dimensionamento { Id = 59, GrupoId = 7, Minimo = 5001, Maximo = 10000, QtdaEfetivos = 11, QtdaSuplentes = 9 },</t>
  </si>
  <si>
    <t>new Dimensionamento { Id = 60, GrupoId = 8, Minimo = 0, Maximo = 50, QtdaEfetivos = 0, QtdaSuplentes = 0 },</t>
  </si>
  <si>
    <t>new Dimensionamento { Id = 61, GrupoId = 8, Minimo = 51, Maximo = 100, QtdaEfetivos = 1, QtdaSuplentes = 1 },</t>
  </si>
  <si>
    <t>new Dimensionamento { Id = 62, GrupoId = 8, Minimo = 101, Maximo = 300, QtdaEfetivos = 2, QtdaSuplentes = 2 },</t>
  </si>
  <si>
    <t>new Dimensionamento { Id = 63, GrupoId = 8, Minimo = 301, Maximo = 1000, QtdaEfetivos = 3, QtdaSuplentes = 3 },</t>
  </si>
  <si>
    <t>new Dimensionamento { Id = 64, GrupoId = 8, Minimo = 1001, Maximo = 2500, QtdaEfetivos = 4, QtdaSuplentes = 3 },</t>
  </si>
  <si>
    <t>new Dimensionamento { Id = 65, GrupoId = 8, Minimo = 2501, Maximo = 5000, QtdaEfetivos = 6, QtdaSuplentes = 4 },</t>
  </si>
  <si>
    <t>new Dimensionamento { Id = 66, GrupoId = 8, Minimo = 5001, Maximo = 10000, QtdaEfetivos = 7, QtdaSuplentes = 5 },</t>
  </si>
  <si>
    <t>new Dimensionamento { Id = 67, GrupoId = 9, Minimo = 0, Maximo = 19, QtdaEfetivos = 0, QtdaSuplentes = 0 },</t>
  </si>
  <si>
    <t>new Dimensionamento { Id = 68, GrupoId = 9, Minimo = 20, Maximo = 50, QtdaEfetivos = 1, QtdaSuplentes = 1 },</t>
  </si>
  <si>
    <t>new Dimensionamento { Id = 69, GrupoId = 9, Minimo = 51, Maximo = 80, QtdaEfetivos = 2, QtdaSuplentes = 2 },</t>
  </si>
  <si>
    <t>new Dimensionamento { Id = 70, GrupoId = 9, Minimo = 81, Maximo = 120, QtdaEfetivos = 3, QtdaSuplentes = 3 },</t>
  </si>
  <si>
    <t>new Dimensionamento { Id = 71, GrupoId = 9, Minimo = 121, Maximo = 140, QtdaEfetivos = 4, QtdaSuplentes = 3 },</t>
  </si>
  <si>
    <t>new Dimensionamento { Id = 72, GrupoId = 9, Minimo = 141, Maximo = 500, QtdaEfetivos = 5, QtdaSuplentes = 4 },</t>
  </si>
  <si>
    <t>new Dimensionamento { Id = 73, GrupoId = 9, Minimo = 501, Maximo = 1000, QtdaEfetivos = 6, QtdaSuplentes = 4 },</t>
  </si>
  <si>
    <t>new Dimensionamento { Id = 74, GrupoId = 9, Minimo = 1001, Maximo = 2500, QtdaEfetivos = 8, QtdaSuplentes = 6 },</t>
  </si>
  <si>
    <t>new Dimensionamento { Id = 75, GrupoId = 9, Minimo = 2501, Maximo = 5000, QtdaEfetivos = 10, QtdaSuplentes = 8 },</t>
  </si>
  <si>
    <t>new Dimensionamento { Id = 76, GrupoId = 9, Minimo = 5001, Maximo = 10000, QtdaEfetivos = 12, QtdaSuplentes = 10 },</t>
  </si>
  <si>
    <t>new Dimensionamento { Id = 77, GrupoId = 10, Minimo = 0, Maximo = 50, QtdaEfetivos = 0, QtdaSuplentes = 0 },</t>
  </si>
  <si>
    <t>new Dimensionamento { Id = 78, GrupoId = 10, Minimo = 51, Maximo = 100, QtdaEfetivos = 1, QtdaSuplentes = 1 },</t>
  </si>
  <si>
    <t>new Dimensionamento { Id = 79, GrupoId = 10, Minimo = 101, Maximo = 500, QtdaEfetivos = 2, QtdaSuplentes = 2 },</t>
  </si>
  <si>
    <t>new Dimensionamento { Id = 80, GrupoId = 10, Minimo = 501, Maximo = 1000, QtdaEfetivos = 3, QtdaSuplentes = 3 },</t>
  </si>
  <si>
    <t>new Dimensionamento { Id = 81, GrupoId = 10, Minimo = 1001, Maximo = 2500, QtdaEfetivos = 4, QtdaSuplentes = 3 },</t>
  </si>
  <si>
    <t>new Dimensionamento { Id = 82, GrupoId = 10, Minimo = 2501, Maximo = 5000, QtdaEfetivos = 5, QtdaSuplentes = 4 },</t>
  </si>
  <si>
    <t>new Dimensionamento { Id = 83, GrupoId = 10, Minimo = 5001, Maximo = 10000, QtdaEfetivos = 6, QtdaSuplentes = 4 },</t>
  </si>
  <si>
    <t>new Dimensionamento { Id = 84, GrupoId = 11, Minimo = 0, Maximo = 19, QtdaEfetivos = 0, QtdaSuplentes = 0 },</t>
  </si>
  <si>
    <t>new Dimensionamento { Id = 85, GrupoId = 11, Minimo = 20, Maximo = 50, QtdaEfetivos = 1, QtdaSuplentes = 1 },</t>
  </si>
  <si>
    <t>new Dimensionamento { Id = 86, GrupoId = 11, Minimo = 51, Maximo = 100, QtdaEfetivos = 2, QtdaSuplentes = 2 },</t>
  </si>
  <si>
    <t>new Dimensionamento { Id = 87, GrupoId = 11, Minimo = 101, Maximo = 140, QtdaEfetivos = 3, QtdaSuplentes = 3 },</t>
  </si>
  <si>
    <t>new Dimensionamento { Id = 88, GrupoId = 11, Minimo = 141, Maximo = 300, QtdaEfetivos = 4, QtdaSuplentes = 3 },</t>
  </si>
  <si>
    <t>new Dimensionamento { Id = 89, GrupoId = 11, Minimo = 301, Maximo = 500, QtdaEfetivos = 5, QtdaSuplentes = 4 },</t>
  </si>
  <si>
    <t>new Dimensionamento { Id = 90, GrupoId = 11, Minimo = 501, Maximo = 1000, QtdaEfetivos = 6, QtdaSuplentes = 5 },</t>
  </si>
  <si>
    <t>new Dimensionamento { Id = 91, GrupoId = 11, Minimo = 1001, Maximo = 2500, QtdaEfetivos = 8, QtdaSuplentes = 7 },</t>
  </si>
  <si>
    <t>new Dimensionamento { Id = 92, GrupoId = 11, Minimo = 2501, Maximo = 5000, QtdaEfetivos = 9, QtdaSuplentes = 8 },</t>
  </si>
  <si>
    <t>new Dimensionamento { Id = 93, GrupoId = 11, Minimo = 5001, Maximo = 10000, QtdaEfetivos = 10, QtdaSuplentes = 8 },</t>
  </si>
  <si>
    <t>new Dimensionamento { Id = 94, GrupoId = 12, Minimo = 0, Maximo = 19, QtdaEfetivos = 0, QtdaSuplentes = 0 },</t>
  </si>
  <si>
    <t>new Dimensionamento { Id = 95, GrupoId = 12, Minimo = 20, Maximo = 50, QtdaEfetivos = 1, QtdaSuplentes = 1 },</t>
  </si>
  <si>
    <t>new Dimensionamento { Id = 96, GrupoId = 12, Minimo = 51, Maximo = 100, QtdaEfetivos = 2, QtdaSuplentes = 2 },</t>
  </si>
  <si>
    <t>new Dimensionamento { Id = 97, GrupoId = 12, Minimo = 101, Maximo = 140, QtdaEfetivos = 3, QtdaSuplentes = 3 },</t>
  </si>
  <si>
    <t>new Dimensionamento { Id = 98, GrupoId = 12, Minimo = 141, Maximo = 300, QtdaEfetivos = 4, QtdaSuplentes = 3 },</t>
  </si>
  <si>
    <t>new Dimensionamento { Id = 99, GrupoId = 12, Minimo = 301, Maximo = 500, QtdaEfetivos = 5, QtdaSuplentes = 4 },</t>
  </si>
  <si>
    <t>new Dimensionamento { Id = 100, GrupoId = 12, Minimo = 501, Maximo = 1000, QtdaEfetivos = 6, QtdaSuplentes = 4 },</t>
  </si>
  <si>
    <t>new Dimensionamento { Id = 101, GrupoId = 12, Minimo = 1001, Maximo = 2500, QtdaEfetivos = 7, QtdaSuplentes = 5 },</t>
  </si>
  <si>
    <t>new Dimensionamento { Id = 102, GrupoId = 12, Minimo = 2501, Maximo = 5000, QtdaEfetivos = 8, QtdaSuplentes = 6 },</t>
  </si>
  <si>
    <t>new Dimensionamento { Id = 103, GrupoId = 12, Minimo = 5001, Maximo = 10000, QtdaEfetivos = 10, QtdaSuplentes = 8 },</t>
  </si>
  <si>
    <t>new Dimensionamento { Id = 104, GrupoId = 13, Minimo = 0, Maximo = 50, QtdaEfetivos = 0, QtdaSuplentes = 0 },</t>
  </si>
  <si>
    <t>new Dimensionamento { Id = 105, GrupoId = 13, Minimo = 51, Maximo = 120, QtdaEfetivos = 1, QtdaSuplentes = 1 },</t>
  </si>
  <si>
    <t>new Dimensionamento { Id = 106, GrupoId = 13, Minimo = 121, Maximo = 500, QtdaEfetivos = 2, QtdaSuplentes = 2 },</t>
  </si>
  <si>
    <t>new Dimensionamento { Id = 107, GrupoId = 13, Minimo = 501, Maximo = 1000, QtdaEfetivos = 3, QtdaSuplentes = 3 },</t>
  </si>
  <si>
    <t>new Dimensionamento { Id = 108, GrupoId = 13, Minimo = 1001, Maximo = 2500, QtdaEfetivos = 5, QtdaSuplentes = 4 },</t>
  </si>
  <si>
    <t>new Dimensionamento { Id = 109, GrupoId = 13, Minimo = 2501, Maximo = 5000, QtdaEfetivos = 6, QtdaSuplentes = 4 },</t>
  </si>
  <si>
    <t>new Dimensionamento { Id = 110, GrupoId = 13, Minimo = 5001, Maximo = 10000, QtdaEfetivos = 7, QtdaSuplentes = 5 },</t>
  </si>
  <si>
    <t>new Dimensionamento { Id = 111, GrupoId = 14, Minimo = 0, Maximo = 19, QtdaEfetivos = 0, QtdaSuplentes = 0 },</t>
  </si>
  <si>
    <t>new Dimensionamento { Id = 112, GrupoId = 14, Minimo = 20, Maximo = 50, QtdaEfetivos = 1, QtdaSuplentes = 1 },</t>
  </si>
  <si>
    <t>new Dimensionamento { Id = 113, GrupoId = 14, Minimo = 51, Maximo = 100, QtdaEfetivos = 2, QtdaSuplentes = 2 },</t>
  </si>
  <si>
    <t>new Dimensionamento { Id = 114, GrupoId = 14, Minimo = 101, Maximo = 140, QtdaEfetivos = 3, QtdaSuplentes = 3 },</t>
  </si>
  <si>
    <t>new Dimensionamento { Id = 115, GrupoId = 14, Minimo = 141, Maximo = 300, QtdaEfetivos = 4, QtdaSuplentes = 3 },</t>
  </si>
  <si>
    <t>new Dimensionamento { Id = 116, GrupoId = 14, Minimo = 301, Maximo = 500, QtdaEfetivos = 4, QtdaSuplentes = 4 },</t>
  </si>
  <si>
    <t>new Dimensionamento { Id = 117, GrupoId = 14, Minimo = 501, Maximo = 1000, QtdaEfetivos = 5, QtdaSuplentes = 4 },</t>
  </si>
  <si>
    <t>new Dimensionamento { Id = 118, GrupoId = 14, Minimo = 1001, Maximo = 2500, QtdaEfetivos = 8, QtdaSuplentes = 6 },</t>
  </si>
  <si>
    <t>new Dimensionamento { Id = 119, GrupoId = 14, Minimo = 2501, Maximo = 5000, QtdaEfetivos = 9, QtdaSuplentes = 7 },</t>
  </si>
  <si>
    <t>new Dimensionamento { Id = 120, GrupoId = 14, Minimo = 5001, Maximo = 10000, QtdaEfetivos = 10, QtdaSuplentes = 8 },</t>
  </si>
  <si>
    <t>new Dimensionamento { Id = 121, GrupoId = 15, Minimo = 0, Maximo = 19, QtdaEfetivos = 0, QtdaSuplentes = 0 },</t>
  </si>
  <si>
    <t>new Dimensionamento { Id = 122, GrupoId = 15, Minimo = 20, Maximo = 50, QtdaEfetivos = 1, QtdaSuplentes = 1 },</t>
  </si>
  <si>
    <t>new Dimensionamento { Id = 123, GrupoId = 15, Minimo = 51, Maximo = 80, QtdaEfetivos = 2, QtdaSuplentes = 2 },</t>
  </si>
  <si>
    <t>new Dimensionamento { Id = 124, GrupoId = 15, Minimo = 81, Maximo = 120, QtdaEfetivos = 3, QtdaSuplentes = 3 },</t>
  </si>
  <si>
    <t>new Dimensionamento { Id = 125, GrupoId = 15, Minimo = 121, Maximo = 300, QtdaEfetivos = 4, QtdaSuplentes = 3 },</t>
  </si>
  <si>
    <t>new Dimensionamento { Id = 126, GrupoId = 15, Minimo = 301, Maximo = 500, QtdaEfetivos = 5, QtdaSuplentes = 4 },</t>
  </si>
  <si>
    <t>new Dimensionamento { Id = 127, GrupoId = 15, Minimo = 501, Maximo = 1000, QtdaEfetivos = 6, QtdaSuplentes = 4 },</t>
  </si>
  <si>
    <t>new Dimensionamento { Id = 128, GrupoId = 15, Minimo = 1001, Maximo = 2500, QtdaEfetivos = 9, QtdaSuplentes = 7 },</t>
  </si>
  <si>
    <t>new Dimensionamento { Id = 129, GrupoId = 15, Minimo = 2501, Maximo = 5000, QtdaEfetivos = 10, QtdaSuplentes = 8 },</t>
  </si>
  <si>
    <t>new Dimensionamento { Id = 130, GrupoId = 15, Minimo = 5001, Maximo = 10000, QtdaEfetivos = 12, QtdaSuplentes = 10 },</t>
  </si>
  <si>
    <t>new Dimensionamento { Id = 131, GrupoId = 16, Minimo = 0, Maximo = 19, QtdaEfetivos = 0, QtdaSuplentes = 0 },</t>
  </si>
  <si>
    <t>new Dimensionamento { Id = 132, GrupoId = 16, Minimo = 20, Maximo = 50, QtdaEfetivos = 1, QtdaSuplentes = 1 },</t>
  </si>
  <si>
    <t>new Dimensionamento { Id = 133, GrupoId = 16, Minimo = 51, Maximo = 80, QtdaEfetivos = 2, QtdaSuplentes = 2 },</t>
  </si>
  <si>
    <t>new Dimensionamento { Id = 134, GrupoId = 16, Minimo = 81, Maximo = 120, QtdaEfetivos = 3, QtdaSuplentes = 3 },</t>
  </si>
  <si>
    <t>new Dimensionamento { Id = 135, GrupoId = 16, Minimo = 121, Maximo = 300, QtdaEfetivos = 4, QtdaSuplentes = 3 },</t>
  </si>
  <si>
    <t>new Dimensionamento { Id = 136, GrupoId = 16, Minimo = 301, Maximo = 500, QtdaEfetivos = 5, QtdaSuplentes = 4 },</t>
  </si>
  <si>
    <t>new Dimensionamento { Id = 137, GrupoId = 16, Minimo = 501, Maximo = 1000, QtdaEfetivos = 7, QtdaSuplentes = 6 },</t>
  </si>
  <si>
    <t>new Dimensionamento { Id = 138, GrupoId = 16, Minimo = 1001, Maximo = 2500, QtdaEfetivos = 8, QtdaSuplentes = 6 },</t>
  </si>
  <si>
    <t>new Dimensionamento { Id = 139, GrupoId = 16, Minimo = 2501, Maximo = 5000, QtdaEfetivos = 9, QtdaSuplentes = 7 },</t>
  </si>
  <si>
    <t>new Dimensionamento { Id = 140, GrupoId = 16, Minimo = 5001, Maximo = 10000, QtdaEfetivos = 10, QtdaSuplentes = 8 },</t>
  </si>
  <si>
    <t>new Dimensionamento { Id = 141, GrupoId = 17, Minimo = 0, Maximo = 19, QtdaEfetivos = 0, QtdaSuplentes = 0 },</t>
  </si>
  <si>
    <t>new Dimensionamento { Id = 142, GrupoId = 17, Minimo = 20, Maximo = 50, QtdaEfetivos = 1, QtdaSuplentes = 1 },</t>
  </si>
  <si>
    <t>new Dimensionamento { Id = 143, GrupoId = 17, Minimo = 51, Maximo = 140, QtdaEfetivos = 3, QtdaSuplentes = 3 },</t>
  </si>
  <si>
    <t>new Dimensionamento { Id = 144, GrupoId = 17, Minimo = 141, Maximo = 300, QtdaEfetivos = 4, QtdaSuplentes = 3 },</t>
  </si>
  <si>
    <t>new Dimensionamento { Id = 145, GrupoId = 17, Minimo = 301, Maximo = 500, QtdaEfetivos = 5, QtdaSuplentes = 4 },</t>
  </si>
  <si>
    <t>new Dimensionamento { Id = 146, GrupoId = 17, Minimo = 501, Maximo = 1000, QtdaEfetivos = 6, QtdaSuplentes = 5 },</t>
  </si>
  <si>
    <t>new Dimensionamento { Id = 147, GrupoId = 17, Minimo = 1001, Maximo = 2500, QtdaEfetivos = 9, QtdaSuplentes = 7 },</t>
  </si>
  <si>
    <t>new Dimensionamento { Id = 148, GrupoId = 17, Minimo = 2501, Maximo = 5000, QtdaEfetivos = 11, QtdaSuplentes = 8 },</t>
  </si>
  <si>
    <t>new Dimensionamento { Id = 149, GrupoId = 17, Minimo = 5001, Maximo = 10000, QtdaEfetivos = 13, QtdaSuplentes = 10 },</t>
  </si>
  <si>
    <t>new Dimensionamento { Id = 150, GrupoId = 18, Minimo = 0, Maximo = 19, QtdaEfetivos = 0, QtdaSuplentes = 0 },</t>
  </si>
  <si>
    <t>new Dimensionamento { Id = 151, GrupoId = 18, Minimo = 20, Maximo = 50, QtdaEfetivos = 1, QtdaSuplentes = 1 },</t>
  </si>
  <si>
    <t>new Dimensionamento { Id = 152, GrupoId = 18, Minimo = 51, Maximo = 100, QtdaEfetivos = 2, QtdaSuplentes = 2 },</t>
  </si>
  <si>
    <t>new Dimensionamento { Id = 153, GrupoId = 18, Minimo = 101, Maximo = 120, QtdaEfetivos = 3, QtdaSuplentes = 3 },</t>
  </si>
  <si>
    <t>new Dimensionamento { Id = 154, GrupoId = 18, Minimo = 121, Maximo = 140, QtdaEfetivos = 4, QtdaSuplentes = 3 },</t>
  </si>
  <si>
    <t>new Dimensionamento { Id = 155, GrupoId = 18, Minimo = 141, Maximo = 300, QtdaEfetivos = 4, QtdaSuplentes = 4 },</t>
  </si>
  <si>
    <t>new Dimensionamento { Id = 156, GrupoId = 18, Minimo = 301, Maximo = 500, QtdaEfetivos = 5, QtdaSuplentes = 4 },</t>
  </si>
  <si>
    <t>new Dimensionamento { Id = 157, GrupoId = 18, Minimo = 501, Maximo = 1000, QtdaEfetivos = 6, QtdaSuplentes = 5 },</t>
  </si>
  <si>
    <t>new Dimensionamento { Id = 158, GrupoId = 18, Minimo = 1001, Maximo = 2500, QtdaEfetivos = 9, QtdaSuplentes = 7 },</t>
  </si>
  <si>
    <t>new Dimensionamento { Id = 159, GrupoId = 18, Minimo = 2501, Maximo = 10000, QtdaEfetivos = 11, QtdaSuplentes = 9 },</t>
  </si>
  <si>
    <t>new Dimensionamento { Id = 160, GrupoId = 19, Minimo = 0, Maximo = 50, QtdaEfetivos = 0, QtdaSuplentes = 0 },</t>
  </si>
  <si>
    <t>new Dimensionamento { Id = 161, GrupoId = 19, Minimo = 51, Maximo = 100, QtdaEfetivos = 1, QtdaSuplentes = 1 },</t>
  </si>
  <si>
    <t>new Dimensionamento { Id = 162, GrupoId = 19, Minimo = 101, Maximo = 300, QtdaEfetivos = 2, QtdaSuplentes = 2 },</t>
  </si>
  <si>
    <t>new Dimensionamento { Id = 163, GrupoId = 19, Minimo = 301, Maximo = 1000, QtdaEfetivos = 3, QtdaSuplentes = 3 },</t>
  </si>
  <si>
    <t>new Dimensionamento { Id = 164, GrupoId = 19, Minimo = 1001, Maximo = 2500, QtdaEfetivos = 4, QtdaSuplentes = 3 },</t>
  </si>
  <si>
    <t>new Dimensionamento { Id = 165, GrupoId = 19, Minimo = 2501, Maximo = 5000, QtdaEfetivos = 5, QtdaSuplentes = 4 },</t>
  </si>
  <si>
    <t>new Dimensionamento { Id = 166, GrupoId = 19, Minimo = 5001, Maximo = 10000, QtdaEfetivos = 6, QtdaSuplentes = 4 },</t>
  </si>
  <si>
    <t>new Dimensionamento { Id = 167, GrupoId = 20, Minimo = 0, Maximo = 19, QtdaEfetivos = 0, QtdaSuplentes = 0 },</t>
  </si>
  <si>
    <t>new Dimensionamento { Id = 168, GrupoId = 20, Minimo = 20, Maximo = 50, QtdaEfetivos = 1, QtdaSuplentes = 1 },</t>
  </si>
  <si>
    <t>new Dimensionamento { Id = 169, GrupoId = 20, Minimo = 51, Maximo = 100, QtdaEfetivos = 3, QtdaSuplentes = 3 },</t>
  </si>
  <si>
    <t>new Dimensionamento { Id = 170, GrupoId = 20, Minimo = 101, Maximo = 300, QtdaEfetivos = 4, QtdaSuplentes = 3 },</t>
  </si>
  <si>
    <t>new Dimensionamento { Id = 171, GrupoId = 20, Minimo = 301, Maximo = 500, QtdaEfetivos = 5, QtdaSuplentes = 4 },</t>
  </si>
  <si>
    <t>new Dimensionamento { Id = 172, GrupoId = 20, Minimo = 501, Maximo = 1000, QtdaEfetivos = 6, QtdaSuplentes = 4 },</t>
  </si>
  <si>
    <t>new Dimensionamento { Id = 173, GrupoId = 20, Minimo = 1001, Maximo = 2500, QtdaEfetivos = 8, QtdaSuplentes = 6 },</t>
  </si>
  <si>
    <t>new Dimensionamento { Id = 174, GrupoId = 20, Minimo = 2501, Maximo = 5000, QtdaEfetivos = 10, QtdaSuplentes = 8 },</t>
  </si>
  <si>
    <t>new Dimensionamento { Id = 175, GrupoId = 20, Minimo = 5001, Maximo = 10000, QtdaEfetivos = 12, QtdaSuplentes = 10 },</t>
  </si>
  <si>
    <t>new Dimensionamento { Id = 176, GrupoId = 21, Minimo = 0, Maximo = 19, QtdaEfetivos = 0, QtdaSuplentes = 0 },</t>
  </si>
  <si>
    <t>new Dimensionamento { Id = 177, GrupoId = 21, Minimo = 20, Maximo = 50, QtdaEfetivos = 1, QtdaSuplentes = 1 },</t>
  </si>
  <si>
    <t>new Dimensionamento { Id = 178, GrupoId = 21, Minimo = 51, Maximo = 80, QtdaEfetivos = 2, QtdaSuplentes = 2 },</t>
  </si>
  <si>
    <t>new Dimensionamento { Id = 179, GrupoId = 21, Minimo = 81, Maximo = 140, QtdaEfetivos = 3, QtdaSuplentes = 3 },</t>
  </si>
  <si>
    <t>new Dimensionamento { Id = 180, GrupoId = 21, Minimo = 141, Maximo = 300, QtdaEfetivos = 4, QtdaSuplentes = 3 },</t>
  </si>
  <si>
    <t>new Dimensionamento { Id = 181, GrupoId = 21, Minimo = 301, Maximo = 500, QtdaEfetivos = 5, QtdaSuplentes = 4 },</t>
  </si>
  <si>
    <t>new Dimensionamento { Id = 182, GrupoId = 21, Minimo = 501, Maximo = 1000, QtdaEfetivos = 6, QtdaSuplentes = 4 },</t>
  </si>
  <si>
    <t>new Dimensionamento { Id = 183, GrupoId = 21, Minimo = 1001, Maximo = 2500, QtdaEfetivos = 8, QtdaSuplentes = 6 },</t>
  </si>
  <si>
    <t>new Dimensionamento { Id = 184, GrupoId = 21, Minimo = 2501, Maximo = 5000, QtdaEfetivos = 10, QtdaSuplentes = 7 },</t>
  </si>
  <si>
    <t>new Dimensionamento { Id = 185, GrupoId = 21, Minimo = 5001, Maximo = 10000, QtdaEfetivos = 12, QtdaSuplentes = 9 },</t>
  </si>
  <si>
    <t>new Dimensionamento { Id = 186, GrupoId = 22, Minimo = 0, Maximo = 19, QtdaEfetivos = 0, QtdaSuplentes = 0 },</t>
  </si>
  <si>
    <t>new Dimensionamento { Id = 187, GrupoId = 22, Minimo = 20, Maximo = 50, QtdaEfetivos = 1, QtdaSuplentes = 1 },</t>
  </si>
  <si>
    <t>new Dimensionamento { Id = 188, GrupoId = 22, Minimo = 51, Maximo = 100, QtdaEfetivos = 2, QtdaSuplentes = 2 },</t>
  </si>
  <si>
    <t>new Dimensionamento { Id = 189, GrupoId = 22, Minimo = 101, Maximo = 300, QtdaEfetivos = 4, QtdaSuplentes = 3 },</t>
  </si>
  <si>
    <t>new Dimensionamento { Id = 190, GrupoId = 22, Minimo = 301, Maximo = 500, QtdaEfetivos = 4, QtdaSuplentes = 4 },</t>
  </si>
  <si>
    <t>new Dimensionamento { Id = 191, GrupoId = 22, Minimo = 501, Maximo = 1000, QtdaEfetivos = 6, QtdaSuplentes = 5 },</t>
  </si>
  <si>
    <t>new Dimensionamento { Id = 192, GrupoId = 22, Minimo = 1001, Maximo = 2500, QtdaEfetivos = 8, QtdaSuplentes = 7 },</t>
  </si>
  <si>
    <t>new Dimensionamento { Id = 193, GrupoId = 22, Minimo = 2501, Maximo = 5000, QtdaEfetivos = 10, QtdaSuplentes = 8 },</t>
  </si>
  <si>
    <t>new Dimensionamento { Id = 194, GrupoId = 22, Minimo = 5001, Maximo = 10000, QtdaEfetivos = 12, QtdaSuplentes = 10 },</t>
  </si>
  <si>
    <t>new Dimensionamento { Id = 195, GrupoId = 23, Minimo = 0, Maximo = 50, QtdaEfetivos = 0, QtdaSuplentes = 0 },</t>
  </si>
  <si>
    <t>new Dimensionamento { Id = 196, GrupoId = 23, Minimo = 51, Maximo = 100, QtdaEfetivos = 2, QtdaSuplentes = 2 },</t>
  </si>
  <si>
    <t>new Dimensionamento { Id = 197, GrupoId = 23, Minimo = 101, Maximo = 300, QtdaEfetivos = 4, QtdaSuplentes = 3 },</t>
  </si>
  <si>
    <t>new Dimensionamento { Id = 198, GrupoId = 23, Minimo = 301, Maximo = 500, QtdaEfetivos = 4, QtdaSuplentes = 4 },</t>
  </si>
  <si>
    <t>new Dimensionamento { Id = 199, GrupoId = 23, Minimo = 501, Maximo = 1000, QtdaEfetivos = 6, QtdaSuplentes = 5 },</t>
  </si>
  <si>
    <t>new Dimensionamento { Id = 200, GrupoId = 23, Minimo = 1001, Maximo = 2500, QtdaEfetivos = 8, QtdaSuplentes = 7 },</t>
  </si>
  <si>
    <t>new Dimensionamento { Id = 201, GrupoId = 23, Minimo = 2501, Maximo = 5000, QtdaEfetivos = 10, QtdaSuplentes = 8 },</t>
  </si>
  <si>
    <t>new Dimensionamento { Id = 202, GrupoId = 23, Minimo = 5001, Maximo = 10000, QtdaEfetivos = 12, QtdaSuplentes = 10 },</t>
  </si>
  <si>
    <t>new Dimensionamento { Id = 203, GrupoId = 24, Minimo = 0, Maximo = 50, QtdaEfetivos = 0, QtdaSuplentes = 0 },</t>
  </si>
  <si>
    <t>new Dimensionamento { Id = 204, GrupoId = 24, Minimo = 51, Maximo = 100, QtdaEfetivos = 3, QtdaSuplentes = 3 },</t>
  </si>
  <si>
    <t>new Dimensionamento { Id = 205, GrupoId = 24, Minimo = 101, Maximo = 300, QtdaEfetivos = 4, QtdaSuplentes = 3 },</t>
  </si>
  <si>
    <t>new Dimensionamento { Id = 206, GrupoId = 24, Minimo = 301, Maximo = 500, QtdaEfetivos = 4, QtdaSuplentes = 4 },</t>
  </si>
  <si>
    <t>new Dimensionamento { Id = 207, GrupoId = 24, Minimo = 501, Maximo = 1000, QtdaEfetivos = 6, QtdaSuplentes = 5 },</t>
  </si>
  <si>
    <t>new Dimensionamento { Id = 208, GrupoId = 24, Minimo = 1001, Maximo = 2500, QtdaEfetivos = 9, QtdaSuplentes = 7 },</t>
  </si>
  <si>
    <t>new Dimensionamento { Id = 209, GrupoId = 24, Minimo = 2501, Maximo = 5000, QtdaEfetivos = 12, QtdaSuplentes = 9 },</t>
  </si>
  <si>
    <t>new Dimensionamento { Id = 210, GrupoId = 24, Minimo = 5001, Maximo = 10000, QtdaEfetivos = 15, QtdaSuplentes = 12 },</t>
  </si>
  <si>
    <t>new Dimensionamento { Id = 211, GrupoId = 25, Minimo = 0, Maximo = 50, QtdaEfetivos = 0, QtdaSuplentes = 0 },</t>
  </si>
  <si>
    <t>new Dimensionamento { Id = 212, GrupoId = 25, Minimo = 51, Maximo = 100, QtdaEfetivos = 1, QtdaSuplentes = 1 },</t>
  </si>
  <si>
    <t>new Dimensionamento { Id = 213, GrupoId = 25, Minimo = 101, Maximo = 300, QtdaEfetivos = 2, QtdaSuplentes = 2 },</t>
  </si>
  <si>
    <t>new Dimensionamento { Id = 214, GrupoId = 25, Minimo = 301, Maximo = 1000, QtdaEfetivos = 3, QtdaSuplentes = 3 },</t>
  </si>
  <si>
    <t>new Dimensionamento { Id = 215, GrupoId = 25, Minimo = 1001, Maximo = 2500, QtdaEfetivos = 4, QtdaSuplentes = 3 },</t>
  </si>
  <si>
    <t>new Dimensionamento { Id = 216, GrupoId = 25, Minimo = 2501, Maximo = 5000, QtdaEfetivos = 5, QtdaSuplentes = 4 },</t>
  </si>
  <si>
    <t>new Dimensionamento { Id = 217, GrupoId = 25, Minimo = 5001, Maximo = 10000, QtdaEfetivos = 6, QtdaSuplentes = 4 },</t>
  </si>
  <si>
    <t>new Dimensionamento { Id = 218, GrupoId = 26, Minimo = 0, Maximo = 29, QtdaEfetivos = 0, QtdaSuplentes = 0 },</t>
  </si>
  <si>
    <t>new Dimensionamento { Id = 219, GrupoId = 26, Minimo = 30, Maximo = 80, QtdaEfetivos = 1, QtdaSuplentes = 1 },</t>
  </si>
  <si>
    <t>new Dimensionamento { Id = 220, GrupoId = 26, Minimo = 81, Maximo = 300, QtdaEfetivos = 3, QtdaSuplentes = 3 },</t>
  </si>
  <si>
    <t>new Dimensionamento { Id = 221, GrupoId = 26, Minimo = 301, Maximo = 500, QtdaEfetivos = 4, QtdaSuplentes = 3 },</t>
  </si>
  <si>
    <t>new Dimensionamento { Id = 222, GrupoId = 26, Minimo = 501, Maximo = 2500, QtdaEfetivos = 5, QtdaSuplentes = 4 },</t>
  </si>
  <si>
    <t>new Dimensionamento { Id = 223, GrupoId = 26, Minimo = 2501, Maximo = 5000, QtdaEfetivos = 6, QtdaSuplentes = 5 },</t>
  </si>
  <si>
    <t>new Dimensionamento { Id = 224, GrupoId = 26, Minimo = 5001, Maximo = 10000, QtdaEfetivos = 8, QtdaSuplentes = 6 },</t>
  </si>
  <si>
    <t>new Dimensionamento { Id = 225, GrupoId = 27, Minimo = 0, Maximo = 50, QtdaEfetivos = 0, QtdaSuplentes = 0 },</t>
  </si>
  <si>
    <t>new Dimensionamento { Id = 226, GrupoId = 27, Minimo = 51, Maximo = 100, QtdaEfetivos = 1, QtdaSuplentes = 1 },</t>
  </si>
  <si>
    <t>new Dimensionamento { Id = 227, GrupoId = 27, Minimo = 101, Maximo = 300, QtdaEfetivos = 2, QtdaSuplentes = 2 },</t>
  </si>
  <si>
    <t>new Dimensionamento { Id = 228, GrupoId = 27, Minimo = 301, Maximo = 1000, QtdaEfetivos = 3, QtdaSuplentes = 3 },</t>
  </si>
  <si>
    <t>new Dimensionamento { Id = 229, GrupoId = 27, Minimo = 1001, Maximo = 2500, QtdaEfetivos = 4, QtdaSuplentes = 3 },</t>
  </si>
  <si>
    <t>new Dimensionamento { Id = 230, GrupoId = 27, Minimo = 2501, Maximo = 5000, QtdaEfetivos = 5, QtdaSuplentes = 4 },</t>
  </si>
  <si>
    <t>new Dimensionamento { Id = 231, GrupoId = 27, Minimo = 5001, Maximo = 10000, QtdaEfetivos = 6, QtdaSuplentes = 5 },</t>
  </si>
  <si>
    <t>new Dimensionamento { Id = 232, GrupoId = 28, Minimo = 0, Maximo = 19, QtdaEfetivos = 0, QtdaSuplentes = 0 },</t>
  </si>
  <si>
    <t>new Dimensionamento { Id = 233, GrupoId = 28, Minimo = 20, Maximo = 50, QtdaEfetivos = 1, QtdaSuplentes = 1 },</t>
  </si>
  <si>
    <t>new Dimensionamento { Id = 234, GrupoId = 28, Minimo = 51, Maximo = 100, QtdaEfetivos = 2, QtdaSuplentes = 2 },</t>
  </si>
  <si>
    <t>new Dimensionamento { Id = 235, GrupoId = 28, Minimo = 101, Maximo = 140, QtdaEfetivos = 3, QtdaSuplentes = 3 },</t>
  </si>
  <si>
    <t>new Dimensionamento { Id = 236, GrupoId = 28, Minimo = 141, Maximo = 500, QtdaEfetivos = 4, QtdaSuplentes = 3 },</t>
  </si>
  <si>
    <t>new Dimensionamento { Id = 237, GrupoId = 28, Minimo = 501, Maximo = 1000, QtdaEfetivos = 6, QtdaSuplentes = 5 },</t>
  </si>
  <si>
    <t>new Dimensionamento { Id = 238, GrupoId = 28, Minimo = 1001, Maximo = 2500, QtdaEfetivos = 8, QtdaSuplentes = 6 },</t>
  </si>
  <si>
    <t>new Dimensionamento { Id = 239, GrupoId = 28, Minimo = 2501, Maximo = 5000, QtdaEfetivos = 10, QtdaSuplentes = 8 },</t>
  </si>
  <si>
    <t>new Dimensionamento { Id = 240, GrupoId = 28, Minimo = 5001, Maximo = 10000, QtdaEfetivos = 12, QtdaSuplentes = 9 },</t>
  </si>
  <si>
    <t>new Dimensionamento { Id = 241, GrupoId = 29, Minimo = 0, Maximo = 50, QtdaEfetivos = 0, QtdaSuplentes = 0 },</t>
  </si>
  <si>
    <t>new Dimensionamento { Id = 242, GrupoId = 29, Minimo = 51, Maximo = 100, QtdaEfetivos = 1, QtdaSuplentes = 1 },</t>
  </si>
  <si>
    <t>new Dimensionamento { Id = 243, GrupoId = 29, Minimo = 101, Maximo = 500, QtdaEfetivos = 2, QtdaSuplentes = 2 },</t>
  </si>
  <si>
    <t>new Dimensionamento { Id = 244, GrupoId = 29, Minimo = 501, Maximo = 1000, QtdaEfetivos = 3, QtdaSuplentes = 3 },</t>
  </si>
  <si>
    <t>new Dimensionamento { Id = 245, GrupoId = 29, Minimo = 1001, Maximo = 2500, QtdaEfetivos = 4, QtdaSuplentes = 3 },</t>
  </si>
  <si>
    <t>new Dimensionamento { Id = 246, GrupoId = 29, Minimo = 2501, Maximo = 5000, QtdaEfetivos = 5, QtdaSuplentes = 4 },</t>
  </si>
  <si>
    <t>new Dimensionamento { Id = 247, GrupoId = 29, Minimo = 5001, Maximo = 10000, QtdaEfetivos = 6, QtdaSuplentes = 5 },</t>
  </si>
  <si>
    <t>new Dimensionamento { Id = 248, GrupoId = 30, Minimo = 0, Maximo = 19, QtdaEfetivos = 0, QtdaSuplentes = 0 },</t>
  </si>
  <si>
    <t>new Dimensionamento { Id = 249, GrupoId = 30, Minimo = 20, Maximo = 50, QtdaEfetivos = 1, QtdaSuplentes = 1 },</t>
  </si>
  <si>
    <t>new Dimensionamento { Id = 250, GrupoId = 30, Minimo = 51, Maximo = 100, QtdaEfetivos = 2, QtdaSuplentes = 2 },</t>
  </si>
  <si>
    <t>new Dimensionamento { Id = 251, GrupoId = 30, Minimo = 101, Maximo = 140, QtdaEfetivos = 4, QtdaSuplentes = 3 },</t>
  </si>
  <si>
    <t>new Dimensionamento { Id = 252, GrupoId = 30, Minimo = 141, Maximo = 500, QtdaEfetivos = 4, QtdaSuplentes = 4 },</t>
  </si>
  <si>
    <t>new Dimensionamento { Id = 253, GrupoId = 30, Minimo = 501, Maximo = 1000, QtdaEfetivos = 6, QtdaSuplentes = 5 },</t>
  </si>
  <si>
    <t>new Dimensionamento { Id = 254, GrupoId = 30, Minimo = 1001, Maximo = 2500, QtdaEfetivos = 8, QtdaSuplentes = 7 },</t>
  </si>
  <si>
    <t>new Dimensionamento { Id = 255, GrupoId = 30, Minimo = 2501, Maximo = 5000, QtdaEfetivos = 10, QtdaSuplentes = 8 },</t>
  </si>
  <si>
    <t>new Dimensionamento { Id = 256, GrupoId = 30, Minimo = 5001, Maximo = 10000, QtdaEfetivos = 12, QtdaSuplentes = 10 },</t>
  </si>
  <si>
    <t>new Dimensionamento { Id = 257, GrupoId = 31, Minimo = 0, Maximo = 50, QtdaEfetivos = 0, QtdaSuplentes = 0 },</t>
  </si>
  <si>
    <t>new Dimensionamento { Id = 258, GrupoId = 31, Minimo = 51, Maximo = 100, QtdaEfetivos = 1, QtdaSuplentes = 1 },</t>
  </si>
  <si>
    <t>new Dimensionamento { Id = 259, GrupoId = 31, Minimo = 101, Maximo = 500, QtdaEfetivos = 2, QtdaSuplentes = 2 },</t>
  </si>
  <si>
    <t>new Dimensionamento { Id = 260, GrupoId = 31, Minimo = 501, Maximo = 1000, QtdaEfetivos = 3, QtdaSuplentes = 3 },</t>
  </si>
  <si>
    <t>new Dimensionamento { Id = 261, GrupoId = 31, Minimo = 1001, Maximo = 2500, QtdaEfetivos = 4, QtdaSuplentes = 3 },</t>
  </si>
  <si>
    <t>new Dimensionamento { Id = 262, GrupoId = 31, Minimo = 2501, Maximo = 5000, QtdaEfetivos = 5, QtdaSuplentes = 4 },</t>
  </si>
  <si>
    <t>new Dimensionamento { Id = 263, GrupoId = 31, Minimo = 5001, Maximo = 10000, QtdaEfetivos = 6, QtdaSuplentes = 4 },</t>
  </si>
  <si>
    <t>new Dimensionamento { Id = 264, GrupoId = 32, Minimo = 0, Maximo = 19, QtdaEfetivos = 0, QtdaSuplentes = 0 },</t>
  </si>
  <si>
    <t>new Dimensionamento { Id = 265, GrupoId = 32, Minimo = 20, Maximo = 50, QtdaEfetivos = 1, QtdaSuplentes = 1 },</t>
  </si>
  <si>
    <t>new Dimensionamento { Id = 266, GrupoId = 32, Minimo = 51, Maximo = 100, QtdaEfetivos = 3, QtdaSuplentes = 3 },</t>
  </si>
  <si>
    <t>new Dimensionamento { Id = 267, GrupoId = 32, Minimo = 101, Maximo = 500, QtdaEfetivos = 4, QtdaSuplentes = 3 },</t>
  </si>
  <si>
    <t>new Dimensionamento { Id = 268, GrupoId = 32, Minimo = 501, Maximo = 1000, QtdaEfetivos = 6, QtdaSuplentes = 4 },</t>
  </si>
  <si>
    <t>new Dimensionamento { Id = 269, GrupoId = 32, Minimo = 1001, Maximo = 2500, QtdaEfetivos = 9, QtdaSuplentes = 7 },</t>
  </si>
  <si>
    <t>new Dimensionamento { Id = 270, GrupoId = 32, Minimo = 2501, Maximo = 5000, QtdaEfetivos = 12, QtdaSuplentes = 9 },</t>
  </si>
  <si>
    <t>new Dimensionamento { Id = 271, GrupoId = 32, Minimo = 5001, Maximo = 10000, QtdaEfetivos = 15, QtdaSuplentes = 12 },</t>
  </si>
  <si>
    <t>new Dimensionamento { Id = 272, GrupoId = 33, Minimo = 0, Maximo = 50, QtdaEfetivos = 0, QtdaSuplentes = 0 },</t>
  </si>
  <si>
    <t>new Dimensionamento { Id = 273, GrupoId = 33, Minimo = 51, Maximo = 100, QtdaEfetivos = 1, QtdaSuplentes = 1 },</t>
  </si>
  <si>
    <t>new Dimensionamento { Id = 274, GrupoId = 33, Minimo = 101, Maximo = 140, QtdaEfetivos = 2, QtdaSuplentes = 1 },</t>
  </si>
  <si>
    <t>new Dimensionamento { Id = 275, GrupoId = 33, Minimo = 141, Maximo = 500, QtdaEfetivos = 2, QtdaSuplentes = 2 },</t>
  </si>
  <si>
    <t>new Dimensionamento { Id = 276, GrupoId = 33, Minimo = 501, Maximo = 1000, QtdaEfetivos = 4, QtdaSuplentes = 4 },</t>
  </si>
  <si>
    <t>new Dimensionamento { Id = 277, GrupoId = 33, Minimo = 1001, Maximo = 2500, QtdaEfetivos = 5, QtdaSuplentes = 5 },</t>
  </si>
  <si>
    <t>new Dimensionamento { Id = 278, GrupoId = 33, Minimo = 2501, Maximo = 10000, QtdaEfetivos = 7, QtdaSuplentes = 7 },</t>
  </si>
  <si>
    <t>new Dimensionamento { Id = 279, GrupoId = 34, Minimo = 0, Maximo = 50, QtdaEfetivos = 0, QtdaSuplentes = 0 },</t>
  </si>
  <si>
    <t>new Dimensionamento { Id = 280, GrupoId = 34, Minimo = 51, Maximo = 100, QtdaEfetivos = 1, QtdaSuplentes = 1 },</t>
  </si>
  <si>
    <t>new Dimensionamento { Id = 281, GrupoId = 34, Minimo = 101, Maximo = 140, QtdaEfetivos = 2, QtdaSuplentes = 1 },</t>
  </si>
  <si>
    <t>new Dimensionamento { Id = 282, GrupoId = 34, Minimo = 141, Maximo = 300, QtdaEfetivos = 2, QtdaSuplentes = 2 },</t>
  </si>
  <si>
    <t>new Dimensionamento { Id = 283, GrupoId = 34, Minimo = 301, Maximo = 500, QtdaEfetivos = 3, QtdaSuplentes = 2 },</t>
  </si>
  <si>
    <t>new Dimensionamento { Id = 284, GrupoId = 34, Minimo = 501, Maximo = 1000, QtdaEfetivos = 4, QtdaSuplentes = 4 },</t>
  </si>
  <si>
    <t>new Dimensionamento { Id = 285, GrupoId = 34, Minimo = 1001, Maximo = 2500, QtdaEfetivos = 5, QtdaSuplentes = 5 },</t>
  </si>
  <si>
    <t>new Dimensionamento { Id = 286, GrupoId = 34, Minimo = 2501, Maximo = 5000, QtdaEfetivos = 7, QtdaSuplentes = 7 },</t>
  </si>
  <si>
    <t>new Dimensionamento { Id = 287, GrupoId = 34, Minimo = 5001, Maximo = 10000, QtdaEfetivos = 9, QtdaSuplentes = 9 },</t>
  </si>
  <si>
    <t>new Dimensionamento { Id = 288, GrupoId = 35, Minimo = 0, Maximo = 50, QtdaEfetivos = 0, QtdaSuplentes = 0 },</t>
  </si>
  <si>
    <t>new Dimensionamento { Id = 289, GrupoId = 35, Minimo = 51, Maximo = 100, QtdaEfetivos = 1, QtdaSuplentes = 1 },</t>
  </si>
  <si>
    <t>new Dimensionamento { Id = 290, GrupoId = 35, Minimo = 101, Maximo = 500, QtdaEfetivos = 2, QtdaSuplentes = 2 },</t>
  </si>
  <si>
    <t>new Dimensionamento { Id = 291, GrupoId = 35, Minimo = 501, Maximo = 1000, QtdaEfetivos = 3, QtdaSuplentes = 3 },</t>
  </si>
  <si>
    <t>new Dimensionamento { Id = 292, GrupoId = 35, Minimo = 1001, Maximo = 2500, QtdaEfetivos = 4, QtdaSuplentes = 3 },</t>
  </si>
  <si>
    <t>new Dimensionamento { Id = 293, GrupoId = 35, Minimo = 2501, Maximo = 5000, QtdaEfetivos = 5, QtdaSuplentes = 4 },</t>
  </si>
  <si>
    <t>new Dimensionamento { Id = 294, GrupoId = 35, Minimo = 5001, Maximo = 10000, QtdaEfetivos = 6, QtdaSuplentes = 5 },</t>
  </si>
  <si>
    <t>new Dimensionamento { Id = 295, GrupoId = 36, Minimo = 0, Maximo = 300, QtdaEfetivos = 0, QtdaSuplentes = 0 },</t>
  </si>
  <si>
    <t>new Dimensionamento { Id = 296, GrupoId = 36, Minimo = 301, Maximo = 500, QtdaEfetivos = 1, QtdaSuplentes = 1 },</t>
  </si>
  <si>
    <t>new Dimensionamento { Id = 297, GrupoId = 36, Minimo = 501, Maximo = 1000, QtdaEfetivos = 2, QtdaSuplentes = 2 },</t>
  </si>
  <si>
    <t>new Dimensionamento { Id = 298, GrupoId = 36, Minimo = 1001, Maximo = 2500, QtdaEfetivos = 3, QtdaSuplentes = 3 },</t>
  </si>
  <si>
    <t>new Dimensionamento { Id = 299, GrupoId = 36, Minimo = 2501, Maximo = 5000, QtdaEfetivos = 4, QtdaSuplentes = 3 },</t>
  </si>
  <si>
    <t>new Dimensionamento { Id = 300, GrupoId = 36, Minimo = 5001, Maximo = 10000, QtdaEfetivos = 5, QtdaSuplentes = 4 },</t>
  </si>
  <si>
    <t>new Dimensionamento { Id = 301, GrupoId = 37, Minimo = 0, Maximo = 100, QtdaEfetivos = 0, QtdaSuplentes = 0 },</t>
  </si>
  <si>
    <t>new Dimensionamento { Id = 302, GrupoId = 37, Minimo = 101, Maximo = 140, QtdaEfetivos = 1, QtdaSuplentes = 1 },</t>
  </si>
  <si>
    <t>new Dimensionamento { Id = 303, GrupoId = 37, Minimo = 141, Maximo = 300, QtdaEfetivos = 2, QtdaSuplentes = 2 },</t>
  </si>
  <si>
    <t>new Dimensionamento { Id = 304, GrupoId = 37, Minimo = 301, Maximo = 500, QtdaEfetivos = 3, QtdaSuplentes = 3 },</t>
  </si>
  <si>
    <t>new Dimensionamento { Id = 305, GrupoId = 37, Minimo = 501, Maximo = 1000, QtdaEfetivos = 4, QtdaSuplentes = 3 },</t>
  </si>
  <si>
    <t>new Dimensionamento { Id = 306, GrupoId = 37, Minimo = 1001, Maximo = 2500, QtdaEfetivos = 5, QtdaSuplentes = 4 },</t>
  </si>
  <si>
    <t>new Dimensionamento { Id = 307, GrupoId = 37, Minimo = 2501, Maximo = 10000, QtdaEfetivos = 6, QtdaSuplentes = 5 },</t>
  </si>
  <si>
    <t>new Dimensionamento { Id = 308, GrupoId = 38, Minimo = 0, Maximo = 100, QtdaEfetivos = 0, QtdaSuplentes = 0 },</t>
  </si>
  <si>
    <t>new Dimensionamento { Id = 309, GrupoId = 38, Minimo = 101, Maximo = 140, QtdaEfetivos = 1, QtdaSuplentes = 1 },</t>
  </si>
  <si>
    <t>new Dimensionamento { Id = 310, GrupoId = 38, Minimo = 141, Maximo = 300, QtdaEfetivos = 2, QtdaSuplentes = 2 },</t>
  </si>
  <si>
    <t>new Dimensionamento { Id = 311, GrupoId = 38, Minimo = 301, Maximo = 500, QtdaEfetivos = 3, QtdaSuplentes = 3 },</t>
  </si>
  <si>
    <t>new Dimensionamento { Id = 312, GrupoId = 38, Minimo = 501, Maximo = 1000, QtdaEfetivos = 4, QtdaSuplentes = 4 },</t>
  </si>
  <si>
    <t>new Dimensionamento { Id = 313, GrupoId = 38, Minimo = 1001, Maximo = 2500, QtdaEfetivos = 5, QtdaSuplentes = 5 },</t>
  </si>
  <si>
    <t>new Dimensionamento { Id = 314, GrupoId = 38, Minimo = 2501, Maximo = 10000, QtdaEfetivos = 6, QtdaSuplentes = 5 },</t>
  </si>
  <si>
    <t>new Dimensionamento { Id = 315, GrupoId = 39, Minimo = 0, Maximo = 300, QtdaEfetivos = 0, QtdaSuplentes = 0 },</t>
  </si>
  <si>
    <t>new Dimensionamento { Id = 316, GrupoId = 39, Minimo = 301, Maximo = 500, QtdaEfetivos = 1, QtdaSuplentes = 1 },</t>
  </si>
  <si>
    <t>new Dimensionamento { Id = 317, GrupoId = 39, Minimo = 501, Maximo = 1000, QtdaEfetivos = 2, QtdaSuplentes = 2 },</t>
  </si>
  <si>
    <t>new Dimensionamento { Id = 318, GrupoId = 39, Minimo = 1001, Maximo = 2500, QtdaEfetivos = 3, QtdaSuplentes = 3 },</t>
  </si>
  <si>
    <t>new Dimensionamento { Id = 319, GrupoId = 39, Minimo = 2501, Maximo = 5000, QtdaEfetivos = 4, QtdaSuplentes = 3 },</t>
  </si>
  <si>
    <t>new Dimensionamento { Id = 320, GrupoId = 39, Minimo = 5001, Maximo = 10000, QtdaEfetivos = 5, QtdaSuplentes = 4 },</t>
  </si>
  <si>
    <t>new Dimensionamento { Id = 321, GrupoId = 40, Minimo = 0, Maximo = 19, QtdaEfetivos = 0, QtdaSuplentes = 0 },</t>
  </si>
  <si>
    <t>new Dimensionamento { Id = 322, GrupoId = 40, Minimo = 20, Maximo = 80, QtdaEfetivos = 1, QtdaSuplentes = 1 },</t>
  </si>
  <si>
    <t>new Dimensionamento { Id = 323, GrupoId = 40, Minimo = 81, Maximo = 100, QtdaEfetivos = 2, QtdaSuplentes = 2 },</t>
  </si>
  <si>
    <t>new Dimensionamento { Id = 324, GrupoId = 40, Minimo = 101, Maximo = 140, QtdaEfetivos = 4, QtdaSuplentes = 3 },</t>
  </si>
  <si>
    <t>new Dimensionamento { Id = 325, GrupoId = 40, Minimo = 141, Maximo = 300, QtdaEfetivos = 4, QtdaSuplentes = 4 },</t>
  </si>
  <si>
    <t>new Dimensionamento { Id = 326, GrupoId = 40, Minimo = 301, Maximo = 500, QtdaEfetivos = 5, QtdaSuplentes = 4 },</t>
  </si>
  <si>
    <t>new Dimensionamento { Id = 327, GrupoId = 40, Minimo = 501, Maximo = 1000, QtdaEfetivos = 7, QtdaSuplentes = 6 },</t>
  </si>
  <si>
    <t>new Dimensionamento { Id = 328, GrupoId = 40, Minimo = 1001, Maximo = 2500, QtdaEfetivos = 8, QtdaSuplentes = 7 },</t>
  </si>
  <si>
    <t>new Dimensionamento { Id = 329, GrupoId = 40, Minimo = 2501, Maximo = 5000, QtdaEfetivos = 9, QtdaSuplentes = 8 },</t>
  </si>
  <si>
    <t>new Dimensionamento { Id = 330, GrupoId = 40, Minimo = 5001, Maximo = 10000, QtdaEfetivos = 10, QtdaSuplentes = 9 },</t>
  </si>
  <si>
    <t>new Dimensionamento { Id = 331, GrupoId = 41, Minimo = 0, Maximo = 50, QtdaEfetivos = 0, QtdaSuplentes = 0 },</t>
  </si>
  <si>
    <t>new Dimensionamento { Id = 332, GrupoId = 41, Minimo = 51, Maximo = 100, QtdaEfetivos = 1, QtdaSuplentes = 1 },</t>
  </si>
  <si>
    <t>new Dimensionamento { Id = 333, GrupoId = 41, Minimo = 101, Maximo = 300, QtdaEfetivos = 2, QtdaSuplentes = 2 },</t>
  </si>
  <si>
    <t>new Dimensionamento { Id = 334, GrupoId = 41, Minimo = 301, Maximo = 1000, QtdaEfetivos = 3, QtdaSuplentes = 3 },</t>
  </si>
  <si>
    <t>new Dimensionamento { Id = 335, GrupoId = 41, Minimo = 1001, Maximo = 2500, QtdaEfetivos = 4, QtdaSuplentes = 3 },</t>
  </si>
  <si>
    <t>new Dimensionamento { Id = 336, GrupoId = 41, Minimo = 2501, Maximo = 5000, QtdaEfetivos = 5, QtdaSuplentes = 4 },</t>
  </si>
  <si>
    <t>new Dimensionamento { Id = 337, GrupoId = 41, Minimo = 5001, Maximo = 10000, QtdaEfetivos = 6, QtdaSuplentes = 5 },</t>
  </si>
  <si>
    <t>new Dimensionamento { Id = 338, GrupoId = 42, Minimo = 0, Maximo = 50, QtdaEfetivos = 0, QtdaSuplentes = 0 },</t>
  </si>
  <si>
    <t>new Dimensionamento { Id = 339, GrupoId = 42, Minimo = 51, Maximo = 100, QtdaEfetivos = 1, QtdaSuplentes = 1 },</t>
  </si>
  <si>
    <t>new Dimensionamento { Id = 340, GrupoId = 42, Minimo = 101, Maximo = 300, QtdaEfetivos = 2, QtdaSuplentes = 2 },</t>
  </si>
  <si>
    <t>new Dimensionamento { Id = 341, GrupoId = 42, Minimo = 301, Maximo = 1000, QtdaEfetivos = 3, QtdaSuplentes = 3 },</t>
  </si>
  <si>
    <t>new Dimensionamento { Id = 342, GrupoId = 42, Minimo = 1001, Maximo = 2500, QtdaEfetivos = 4, QtdaSuplentes = 3 },</t>
  </si>
  <si>
    <t>new Dimensionamento { Id = 343, GrupoId = 42, Minimo = 2501, Maximo = 5000, QtdaEfetivos = 5, QtdaSuplentes = 4 },</t>
  </si>
  <si>
    <t>new Dimensionamento { Id = 344, GrupoId = 42, Minimo = 5001, Maximo = 10000, QtdaEfetivos = 6, QtdaSuplentes = 5 },</t>
  </si>
  <si>
    <t>new Dimensionamento { Id = 345, GrupoId = 43, Minimo = 0, Maximo = 100, QtdaEfetivos = 0, QtdaSuplentes = 0 },</t>
  </si>
  <si>
    <t>new Dimensionamento { Id = 346, GrupoId = 43, Minimo = 101, Maximo = 500, QtdaEfetivos = 1, QtdaSuplentes = 1 },</t>
  </si>
  <si>
    <t>new Dimensionamento { Id = 347, GrupoId = 43, Minimo = 501, Maximo = 1000, QtdaEfetivos = 2, QtdaSuplentes = 2 },</t>
  </si>
  <si>
    <t>new Dimensionamento { Id = 348, GrupoId = 43, Minimo = 1001, Maximo = 2500, QtdaEfetivos = 3, QtdaSuplentes = 3 },</t>
  </si>
  <si>
    <t>new Dimensionamento { Id = 349, GrupoId = 43, Minimo = 2501, Maximo = 5000, QtdaEfetivos = 4, QtdaSuplentes = 3 },</t>
  </si>
  <si>
    <t>new Dimensionamento { Id = 350, GrupoId = 43, Minimo = 5001, Maximo = 10000, QtdaEfetivos = 5, QtdaSuplentes = 4 },</t>
  </si>
  <si>
    <t>new Dimensionamento { Id = 351, GrupoId = 44, Minimo = 0, Maximo = 19, QtdaEfetivos = 0, QtdaSuplentes = 0 },</t>
  </si>
  <si>
    <t>new Dimensionamento { Id = 352, GrupoId = 44, Minimo = 20, Maximo = 50, QtdaEfetivos = 1, QtdaSuplentes = 1 },</t>
  </si>
  <si>
    <t>new Dimensionamento { Id = 353, GrupoId = 44, Minimo = 51, Maximo = 100, QtdaEfetivos = 2, QtdaSuplentes = 2 },</t>
  </si>
  <si>
    <t>new Dimensionamento { Id = 354, GrupoId = 44, Minimo = 101, Maximo = 300, QtdaEfetivos = 4, QtdaSuplentes = 3 },</t>
  </si>
  <si>
    <t>new Dimensionamento { Id = 355, GrupoId = 44, Minimo = 301, Maximo = 500, QtdaEfetivos = 4, QtdaSuplentes = 4 },</t>
  </si>
  <si>
    <t>new Dimensionamento { Id = 356, GrupoId = 44, Minimo = 501, Maximo = 1000, QtdaEfetivos = 6, QtdaSuplentes = 5 },</t>
  </si>
  <si>
    <t>new Dimensionamento { Id = 357, GrupoId = 44, Minimo = 1001, Maximo = 2500, QtdaEfetivos = 8, QtdaSuplentes = 7 },</t>
  </si>
  <si>
    <t>new Dimensionamento { Id = 358, GrupoId = 44, Minimo = 2501, Maximo = 5000, QtdaEfetivos = 10, QtdaSuplentes = 8 },</t>
  </si>
  <si>
    <t>new Dimensionamento { Id = 359, GrupoId = 44, Minimo = 5001, Maximo = 10000, QtdaEfetivos = 12, QtdaSuplentes = 9 },</t>
  </si>
  <si>
    <t>new Dimensionamento { Id = 360, GrupoId = 45, Minimo = 0, Maximo = 50, QtdaEfetivos = 0, QtdaSuplentes = 0 },</t>
  </si>
  <si>
    <t>new Dimensionamento { Id = 361, GrupoId = 45, Minimo = 51, Maximo = 100, QtdaEfetivos = 1, QtdaSuplentes = 1 },</t>
  </si>
  <si>
    <t>new Dimensionamento { Id = 362, GrupoId = 45, Minimo = 101, Maximo = 500, QtdaEfetivos = 2, QtdaSuplentes = 2 },</t>
  </si>
  <si>
    <t>new Dimensionamento { Id = 363, GrupoId = 45, Minimo = 501, Maximo = 1000, QtdaEfetivos = 3, QtdaSuplentes = 3 },</t>
  </si>
  <si>
    <t>new Dimensionamento { Id = 364, GrupoId = 45, Minimo = 1001, Maximo = 2500, QtdaEfetivos = 4, QtdaSuplentes = 3 },</t>
  </si>
  <si>
    <t>new Dimensionamento { Id = 365, GrupoId = 45, Minimo = 2501, Maximo = 5000, QtdaEfetivos = 5, QtdaSuplentes = 4 },</t>
  </si>
  <si>
    <t>new Dimensionamento { Id = 359, GrupoId = 45, Minimo = 5001, Maximo = 10000, QtdaEfetivos = 6, QtdaSuplentes = 5 },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</si>
</sst>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_-;\-* #,##0.00_-;_-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000000"/>
      <name val="Times New Roman"/>
      <family val="1"/>
    </font>
    <font>
      <sz val="9"/>
      <color rgb="FF000000"/>
      <name val="Times New Roman"/>
      <family val="1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">
    <xf numFmtId="0" fontId="0" fillId="0" borderId="0" xfId="0"/>
    <xf numFmtId="0" fontId="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2" fillId="0" borderId="1" xfId="1" applyNumberFormat="1" applyFont="1" applyBorder="1" applyAlignment="1">
      <alignment horizontal="center" vertical="center" wrapText="1"/>
    </xf>
    <xf numFmtId="0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vertical="center" wrapText="1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Q92"/>
  <sheetViews>
    <sheetView showGridLines="0" topLeftCell="A79" workbookViewId="0">
      <selection activeCell="P8" sqref="P8"/>
    </sheetView>
  </sheetViews>
  <sheetFormatPr defaultRowHeight="14.4" x14ac:dyDescent="0.3"/>
  <cols>
    <col min="3" max="6" width="2.6640625" bestFit="1" customWidth="1"/>
    <col min="7" max="11" width="3.5546875" bestFit="1" customWidth="1"/>
    <col min="12" max="14" width="4.44140625" bestFit="1" customWidth="1"/>
    <col min="15" max="16" width="5.33203125" bestFit="1" customWidth="1"/>
  </cols>
  <sheetData>
    <row r="1" spans="1:17" x14ac:dyDescent="0.3">
      <c r="C1" s="4">
        <v>0</v>
      </c>
      <c r="D1" s="5">
        <v>20</v>
      </c>
      <c r="E1" s="5">
        <v>30</v>
      </c>
      <c r="F1" s="5">
        <v>51</v>
      </c>
      <c r="G1" s="5">
        <v>81</v>
      </c>
      <c r="H1" s="5">
        <v>101</v>
      </c>
      <c r="I1" s="5">
        <v>121</v>
      </c>
      <c r="J1" s="5">
        <v>141</v>
      </c>
      <c r="K1" s="5">
        <v>301</v>
      </c>
      <c r="L1" s="5">
        <v>501</v>
      </c>
      <c r="M1" s="5">
        <v>1001</v>
      </c>
      <c r="N1" s="5">
        <v>2501</v>
      </c>
      <c r="O1" s="5">
        <v>5001</v>
      </c>
      <c r="P1" s="5">
        <v>10000</v>
      </c>
    </row>
    <row r="2" spans="1:17" x14ac:dyDescent="0.3">
      <c r="C2" s="5">
        <v>19</v>
      </c>
      <c r="D2" s="5">
        <v>29</v>
      </c>
      <c r="E2" s="5">
        <v>50</v>
      </c>
      <c r="F2" s="5">
        <v>80</v>
      </c>
      <c r="G2" s="5">
        <v>100</v>
      </c>
      <c r="H2" s="5">
        <v>120</v>
      </c>
      <c r="I2" s="5">
        <v>140</v>
      </c>
      <c r="J2" s="5">
        <v>300</v>
      </c>
      <c r="K2" s="5">
        <v>500</v>
      </c>
      <c r="L2" s="5">
        <v>1000</v>
      </c>
      <c r="M2" s="5">
        <v>2500</v>
      </c>
      <c r="N2" s="5">
        <v>5000</v>
      </c>
      <c r="O2" s="5">
        <v>10000</v>
      </c>
      <c r="P2" s="5">
        <v>2500</v>
      </c>
    </row>
    <row r="3" spans="1:17" x14ac:dyDescent="0.3">
      <c r="A3" s="6" t="s">
        <v>0</v>
      </c>
      <c r="B3" s="1" t="s">
        <v>3</v>
      </c>
      <c r="C3" s="2">
        <v>0</v>
      </c>
      <c r="D3" s="2">
        <v>1</v>
      </c>
      <c r="E3" s="2">
        <v>1</v>
      </c>
      <c r="F3" s="2">
        <v>3</v>
      </c>
      <c r="G3" s="2">
        <v>3</v>
      </c>
      <c r="H3" s="2">
        <v>4</v>
      </c>
      <c r="I3" s="2">
        <v>4</v>
      </c>
      <c r="J3" s="2">
        <v>4</v>
      </c>
      <c r="K3" s="2">
        <v>4</v>
      </c>
      <c r="L3" s="2">
        <v>6</v>
      </c>
      <c r="M3" s="2">
        <v>9</v>
      </c>
      <c r="N3" s="2">
        <v>12</v>
      </c>
      <c r="O3" s="2">
        <v>15</v>
      </c>
      <c r="P3" s="2">
        <v>2</v>
      </c>
      <c r="Q3">
        <f>VLOOKUP(A3,Grupos!A:B,2,0)</f>
        <v>1</v>
      </c>
    </row>
    <row r="4" spans="1:17" x14ac:dyDescent="0.3">
      <c r="A4" s="6" t="s">
        <v>0</v>
      </c>
      <c r="B4" s="1" t="s">
        <v>4</v>
      </c>
      <c r="C4" s="2">
        <v>0</v>
      </c>
      <c r="D4" s="2">
        <v>1</v>
      </c>
      <c r="E4" s="2">
        <v>1</v>
      </c>
      <c r="F4" s="2">
        <v>3</v>
      </c>
      <c r="G4" s="2">
        <v>3</v>
      </c>
      <c r="H4" s="2">
        <v>3</v>
      </c>
      <c r="I4" s="2">
        <v>3</v>
      </c>
      <c r="J4" s="2">
        <v>3</v>
      </c>
      <c r="K4" s="2">
        <v>3</v>
      </c>
      <c r="L4" s="2">
        <v>4</v>
      </c>
      <c r="M4" s="2">
        <v>7</v>
      </c>
      <c r="N4" s="2">
        <v>9</v>
      </c>
      <c r="O4" s="2">
        <v>12</v>
      </c>
      <c r="P4" s="2">
        <v>2</v>
      </c>
      <c r="Q4">
        <f>VLOOKUP(A4,Grupos!A:B,2,0)</f>
        <v>1</v>
      </c>
    </row>
    <row r="5" spans="1:17" x14ac:dyDescent="0.3">
      <c r="A5" s="6" t="s">
        <v>1</v>
      </c>
      <c r="B5" s="1" t="s">
        <v>3</v>
      </c>
      <c r="C5" s="2">
        <v>0</v>
      </c>
      <c r="D5" s="2">
        <v>1</v>
      </c>
      <c r="E5" s="2">
        <v>1</v>
      </c>
      <c r="F5" s="2">
        <v>3</v>
      </c>
      <c r="G5" s="2">
        <v>3</v>
      </c>
      <c r="H5" s="2">
        <v>4</v>
      </c>
      <c r="I5" s="2">
        <v>4</v>
      </c>
      <c r="J5" s="2">
        <v>4</v>
      </c>
      <c r="K5" s="2">
        <v>4</v>
      </c>
      <c r="L5" s="2">
        <v>6</v>
      </c>
      <c r="M5" s="2">
        <v>9</v>
      </c>
      <c r="N5" s="2">
        <v>12</v>
      </c>
      <c r="O5" s="2">
        <v>15</v>
      </c>
      <c r="P5" s="2">
        <v>2</v>
      </c>
      <c r="Q5">
        <f>VLOOKUP(A5,Grupos!A:B,2,0)</f>
        <v>2</v>
      </c>
    </row>
    <row r="6" spans="1:17" x14ac:dyDescent="0.3">
      <c r="A6" s="6" t="s">
        <v>1</v>
      </c>
      <c r="B6" s="1" t="s">
        <v>4</v>
      </c>
      <c r="C6" s="2">
        <v>0</v>
      </c>
      <c r="D6" s="2">
        <v>1</v>
      </c>
      <c r="E6" s="2">
        <v>1</v>
      </c>
      <c r="F6" s="2">
        <v>3</v>
      </c>
      <c r="G6" s="2">
        <v>3</v>
      </c>
      <c r="H6" s="2">
        <v>3</v>
      </c>
      <c r="I6" s="2">
        <v>3</v>
      </c>
      <c r="J6" s="2">
        <v>3</v>
      </c>
      <c r="K6" s="2">
        <v>4</v>
      </c>
      <c r="L6" s="2">
        <v>5</v>
      </c>
      <c r="M6" s="2">
        <v>8</v>
      </c>
      <c r="N6" s="2">
        <v>9</v>
      </c>
      <c r="O6" s="2">
        <v>12</v>
      </c>
      <c r="P6" s="2">
        <v>2</v>
      </c>
      <c r="Q6">
        <f>VLOOKUP(A6,Grupos!A:B,2,0)</f>
        <v>2</v>
      </c>
    </row>
    <row r="7" spans="1:17" x14ac:dyDescent="0.3">
      <c r="A7" s="6" t="s">
        <v>2</v>
      </c>
      <c r="B7" s="1" t="s">
        <v>3</v>
      </c>
      <c r="C7" s="2">
        <v>0</v>
      </c>
      <c r="D7" s="2">
        <v>1</v>
      </c>
      <c r="E7" s="2">
        <v>1</v>
      </c>
      <c r="F7" s="2">
        <v>2</v>
      </c>
      <c r="G7" s="2">
        <v>2</v>
      </c>
      <c r="H7" s="2">
        <v>3</v>
      </c>
      <c r="I7" s="2">
        <v>4</v>
      </c>
      <c r="J7" s="2">
        <v>4</v>
      </c>
      <c r="K7" s="2">
        <v>5</v>
      </c>
      <c r="L7" s="2">
        <v>6</v>
      </c>
      <c r="M7" s="2">
        <v>7</v>
      </c>
      <c r="N7" s="2">
        <v>10</v>
      </c>
      <c r="O7" s="2">
        <v>11</v>
      </c>
      <c r="P7" s="2">
        <v>2</v>
      </c>
      <c r="Q7">
        <f>VLOOKUP(A7,Grupos!A:B,2,0)</f>
        <v>3</v>
      </c>
    </row>
    <row r="8" spans="1:17" x14ac:dyDescent="0.3">
      <c r="A8" s="6" t="s">
        <v>2</v>
      </c>
      <c r="B8" s="1" t="s">
        <v>4</v>
      </c>
      <c r="C8" s="2">
        <v>0</v>
      </c>
      <c r="D8" s="2">
        <v>1</v>
      </c>
      <c r="E8" s="2">
        <v>1</v>
      </c>
      <c r="F8" s="2">
        <v>2</v>
      </c>
      <c r="G8" s="2">
        <v>2</v>
      </c>
      <c r="H8" s="2">
        <v>3</v>
      </c>
      <c r="I8" s="2">
        <v>3</v>
      </c>
      <c r="J8" s="2">
        <v>4</v>
      </c>
      <c r="K8" s="2">
        <v>4</v>
      </c>
      <c r="L8" s="2">
        <v>5</v>
      </c>
      <c r="M8" s="2">
        <v>6</v>
      </c>
      <c r="N8" s="2">
        <v>7</v>
      </c>
      <c r="O8" s="2">
        <v>9</v>
      </c>
      <c r="P8" s="2">
        <v>1</v>
      </c>
      <c r="Q8">
        <f>VLOOKUP(A8,Grupos!A:B,2,0)</f>
        <v>3</v>
      </c>
    </row>
    <row r="9" spans="1:17" x14ac:dyDescent="0.3">
      <c r="A9" s="6" t="s">
        <v>5</v>
      </c>
      <c r="B9" s="1" t="s">
        <v>3</v>
      </c>
      <c r="C9" s="2">
        <v>0</v>
      </c>
      <c r="D9" s="2">
        <v>1</v>
      </c>
      <c r="E9" s="2">
        <v>1</v>
      </c>
      <c r="F9" s="2">
        <v>2</v>
      </c>
      <c r="G9" s="2">
        <v>2</v>
      </c>
      <c r="H9" s="2">
        <v>3</v>
      </c>
      <c r="I9" s="2">
        <v>3</v>
      </c>
      <c r="J9" s="2">
        <v>4</v>
      </c>
      <c r="K9" s="2">
        <v>5</v>
      </c>
      <c r="L9" s="2">
        <v>6</v>
      </c>
      <c r="M9" s="2">
        <v>7</v>
      </c>
      <c r="N9" s="2">
        <v>10</v>
      </c>
      <c r="O9" s="2">
        <v>10</v>
      </c>
      <c r="P9" s="2">
        <v>2</v>
      </c>
      <c r="Q9">
        <f>VLOOKUP(A9,Grupos!A:B,2,0)</f>
        <v>4</v>
      </c>
    </row>
    <row r="10" spans="1:17" x14ac:dyDescent="0.3">
      <c r="A10" s="6" t="s">
        <v>5</v>
      </c>
      <c r="B10" s="1" t="s">
        <v>4</v>
      </c>
      <c r="C10" s="2">
        <v>0</v>
      </c>
      <c r="D10" s="2">
        <v>1</v>
      </c>
      <c r="E10" s="2">
        <v>1</v>
      </c>
      <c r="F10" s="2">
        <v>2</v>
      </c>
      <c r="G10" s="2">
        <v>2</v>
      </c>
      <c r="H10" s="2">
        <v>3</v>
      </c>
      <c r="I10" s="2">
        <v>3</v>
      </c>
      <c r="J10" s="2">
        <v>4</v>
      </c>
      <c r="K10" s="2">
        <v>4</v>
      </c>
      <c r="L10" s="2">
        <v>5</v>
      </c>
      <c r="M10" s="2">
        <v>6</v>
      </c>
      <c r="N10" s="2">
        <v>8</v>
      </c>
      <c r="O10" s="2">
        <v>8</v>
      </c>
      <c r="P10" s="2">
        <v>2</v>
      </c>
      <c r="Q10">
        <f>VLOOKUP(A10,Grupos!A:B,2,0)</f>
        <v>4</v>
      </c>
    </row>
    <row r="11" spans="1:17" x14ac:dyDescent="0.3">
      <c r="A11" s="6" t="s">
        <v>6</v>
      </c>
      <c r="B11" s="1" t="s">
        <v>3</v>
      </c>
      <c r="C11" s="2">
        <v>0</v>
      </c>
      <c r="D11" s="2">
        <v>0</v>
      </c>
      <c r="E11" s="2">
        <v>0</v>
      </c>
      <c r="F11" s="2">
        <v>1</v>
      </c>
      <c r="G11" s="2">
        <v>1</v>
      </c>
      <c r="H11" s="2">
        <v>2</v>
      </c>
      <c r="I11" s="2">
        <v>2</v>
      </c>
      <c r="J11" s="2">
        <v>2</v>
      </c>
      <c r="K11" s="2">
        <v>3</v>
      </c>
      <c r="L11" s="2">
        <v>3</v>
      </c>
      <c r="M11" s="2">
        <v>4</v>
      </c>
      <c r="N11" s="2">
        <v>5</v>
      </c>
      <c r="O11" s="2">
        <v>6</v>
      </c>
      <c r="P11" s="2">
        <v>1</v>
      </c>
      <c r="Q11">
        <f>VLOOKUP(A11,Grupos!A:B,2,0)</f>
        <v>5</v>
      </c>
    </row>
    <row r="12" spans="1:17" x14ac:dyDescent="0.3">
      <c r="A12" s="6" t="s">
        <v>6</v>
      </c>
      <c r="B12" s="1" t="s">
        <v>4</v>
      </c>
      <c r="C12" s="2">
        <v>0</v>
      </c>
      <c r="D12" s="2">
        <v>0</v>
      </c>
      <c r="E12" s="2">
        <v>0</v>
      </c>
      <c r="F12" s="2">
        <v>1</v>
      </c>
      <c r="G12" s="2">
        <v>1</v>
      </c>
      <c r="H12" s="2">
        <v>2</v>
      </c>
      <c r="I12" s="2">
        <v>2</v>
      </c>
      <c r="J12" s="2">
        <v>2</v>
      </c>
      <c r="K12" s="2">
        <v>3</v>
      </c>
      <c r="L12" s="2">
        <v>3</v>
      </c>
      <c r="M12" s="2">
        <v>3</v>
      </c>
      <c r="N12" s="2">
        <v>4</v>
      </c>
      <c r="O12" s="2">
        <v>5</v>
      </c>
      <c r="P12" s="2">
        <v>1</v>
      </c>
      <c r="Q12">
        <f>VLOOKUP(A12,Grupos!A:B,2,0)</f>
        <v>5</v>
      </c>
    </row>
    <row r="13" spans="1:17" x14ac:dyDescent="0.3">
      <c r="A13" s="6" t="s">
        <v>7</v>
      </c>
      <c r="B13" s="1" t="s">
        <v>3</v>
      </c>
      <c r="C13" s="2">
        <v>0</v>
      </c>
      <c r="D13" s="2">
        <v>0</v>
      </c>
      <c r="E13" s="2">
        <v>1</v>
      </c>
      <c r="F13" s="2">
        <v>1</v>
      </c>
      <c r="G13" s="2">
        <v>1</v>
      </c>
      <c r="H13" s="2">
        <v>1</v>
      </c>
      <c r="I13" s="2">
        <v>1</v>
      </c>
      <c r="J13" s="2">
        <v>2</v>
      </c>
      <c r="K13" s="2">
        <v>2</v>
      </c>
      <c r="L13" s="2">
        <v>2</v>
      </c>
      <c r="M13" s="2">
        <v>3</v>
      </c>
      <c r="N13" s="2">
        <v>5</v>
      </c>
      <c r="O13" s="2">
        <v>6</v>
      </c>
      <c r="P13" s="2">
        <v>1</v>
      </c>
      <c r="Q13">
        <f>VLOOKUP(A13,Grupos!A:B,2,0)</f>
        <v>6</v>
      </c>
    </row>
    <row r="14" spans="1:17" x14ac:dyDescent="0.3">
      <c r="A14" s="6" t="s">
        <v>7</v>
      </c>
      <c r="B14" s="1" t="s">
        <v>4</v>
      </c>
      <c r="C14" s="2">
        <v>0</v>
      </c>
      <c r="D14" s="2">
        <v>0</v>
      </c>
      <c r="E14" s="2">
        <v>1</v>
      </c>
      <c r="F14" s="2">
        <v>1</v>
      </c>
      <c r="G14" s="2">
        <v>1</v>
      </c>
      <c r="H14" s="2">
        <v>1</v>
      </c>
      <c r="I14" s="2">
        <v>1</v>
      </c>
      <c r="J14" s="2">
        <v>2</v>
      </c>
      <c r="K14" s="2">
        <v>2</v>
      </c>
      <c r="L14" s="2">
        <v>2</v>
      </c>
      <c r="M14" s="2">
        <v>3</v>
      </c>
      <c r="N14" s="2">
        <v>4</v>
      </c>
      <c r="O14" s="2">
        <v>4</v>
      </c>
      <c r="P14" s="2">
        <v>1</v>
      </c>
      <c r="Q14">
        <f>VLOOKUP(A14,Grupos!A:B,2,0)</f>
        <v>6</v>
      </c>
    </row>
    <row r="15" spans="1:17" x14ac:dyDescent="0.3">
      <c r="A15" s="6" t="s">
        <v>8</v>
      </c>
      <c r="B15" s="1" t="s">
        <v>3</v>
      </c>
      <c r="C15" s="2">
        <v>0</v>
      </c>
      <c r="D15" s="2">
        <v>1</v>
      </c>
      <c r="E15" s="2">
        <v>1</v>
      </c>
      <c r="F15" s="2">
        <v>2</v>
      </c>
      <c r="G15" s="2">
        <v>3</v>
      </c>
      <c r="H15" s="2">
        <v>3</v>
      </c>
      <c r="I15" s="2">
        <v>4</v>
      </c>
      <c r="J15" s="2">
        <v>4</v>
      </c>
      <c r="K15" s="2">
        <v>4</v>
      </c>
      <c r="L15" s="2">
        <v>6</v>
      </c>
      <c r="M15" s="2">
        <v>9</v>
      </c>
      <c r="N15" s="2">
        <v>9</v>
      </c>
      <c r="O15" s="2">
        <v>11</v>
      </c>
      <c r="P15" s="2">
        <v>2</v>
      </c>
      <c r="Q15">
        <f>VLOOKUP(A15,Grupos!A:B,2,0)</f>
        <v>7</v>
      </c>
    </row>
    <row r="16" spans="1:17" x14ac:dyDescent="0.3">
      <c r="A16" s="6" t="s">
        <v>8</v>
      </c>
      <c r="B16" s="1" t="s">
        <v>4</v>
      </c>
      <c r="C16" s="2">
        <v>0</v>
      </c>
      <c r="D16" s="2">
        <v>1</v>
      </c>
      <c r="E16" s="2">
        <v>1</v>
      </c>
      <c r="F16" s="2">
        <v>2</v>
      </c>
      <c r="G16" s="2">
        <v>3</v>
      </c>
      <c r="H16" s="2">
        <v>3</v>
      </c>
      <c r="I16" s="2">
        <v>3</v>
      </c>
      <c r="J16" s="2">
        <v>4</v>
      </c>
      <c r="K16" s="2">
        <v>4</v>
      </c>
      <c r="L16" s="2">
        <v>5</v>
      </c>
      <c r="M16" s="2">
        <v>7</v>
      </c>
      <c r="N16" s="2">
        <v>7</v>
      </c>
      <c r="O16" s="2">
        <v>9</v>
      </c>
      <c r="P16" s="2">
        <v>2</v>
      </c>
      <c r="Q16">
        <f>VLOOKUP(A16,Grupos!A:B,2,0)</f>
        <v>7</v>
      </c>
    </row>
    <row r="17" spans="1:17" x14ac:dyDescent="0.3">
      <c r="A17" s="6" t="s">
        <v>9</v>
      </c>
      <c r="B17" s="1" t="s">
        <v>3</v>
      </c>
      <c r="C17" s="2">
        <v>0</v>
      </c>
      <c r="D17" s="2">
        <v>0</v>
      </c>
      <c r="E17" s="2">
        <v>0</v>
      </c>
      <c r="F17" s="2">
        <v>1</v>
      </c>
      <c r="G17" s="2">
        <v>1</v>
      </c>
      <c r="H17" s="2">
        <v>2</v>
      </c>
      <c r="I17" s="2">
        <v>2</v>
      </c>
      <c r="J17" s="2">
        <v>2</v>
      </c>
      <c r="K17" s="2">
        <v>3</v>
      </c>
      <c r="L17" s="2">
        <v>3</v>
      </c>
      <c r="M17" s="2">
        <v>4</v>
      </c>
      <c r="N17" s="2">
        <v>6</v>
      </c>
      <c r="O17" s="2">
        <v>7</v>
      </c>
      <c r="P17" s="2">
        <v>1</v>
      </c>
      <c r="Q17">
        <f>VLOOKUP(A17,Grupos!A:B,2,0)</f>
        <v>8</v>
      </c>
    </row>
    <row r="18" spans="1:17" x14ac:dyDescent="0.3">
      <c r="A18" s="6" t="s">
        <v>9</v>
      </c>
      <c r="B18" s="1" t="s">
        <v>4</v>
      </c>
      <c r="C18" s="2">
        <v>0</v>
      </c>
      <c r="D18" s="2">
        <v>0</v>
      </c>
      <c r="E18" s="2">
        <v>0</v>
      </c>
      <c r="F18" s="2">
        <v>1</v>
      </c>
      <c r="G18" s="2">
        <v>1</v>
      </c>
      <c r="H18" s="2">
        <v>2</v>
      </c>
      <c r="I18" s="2">
        <v>2</v>
      </c>
      <c r="J18" s="2">
        <v>2</v>
      </c>
      <c r="K18" s="2">
        <v>3</v>
      </c>
      <c r="L18" s="2">
        <v>3</v>
      </c>
      <c r="M18" s="2">
        <v>3</v>
      </c>
      <c r="N18" s="2">
        <v>4</v>
      </c>
      <c r="O18" s="2">
        <v>5</v>
      </c>
      <c r="P18" s="2">
        <v>1</v>
      </c>
      <c r="Q18">
        <f>VLOOKUP(A18,Grupos!A:B,2,0)</f>
        <v>8</v>
      </c>
    </row>
    <row r="19" spans="1:17" x14ac:dyDescent="0.3">
      <c r="A19" s="6" t="s">
        <v>10</v>
      </c>
      <c r="B19" s="1" t="s">
        <v>3</v>
      </c>
      <c r="C19" s="2">
        <v>0</v>
      </c>
      <c r="D19" s="2">
        <v>1</v>
      </c>
      <c r="E19" s="2">
        <v>1</v>
      </c>
      <c r="F19" s="2">
        <v>2</v>
      </c>
      <c r="G19" s="2">
        <v>3</v>
      </c>
      <c r="H19" s="2">
        <v>3</v>
      </c>
      <c r="I19" s="2">
        <v>4</v>
      </c>
      <c r="J19" s="2">
        <v>5</v>
      </c>
      <c r="K19" s="2">
        <v>5</v>
      </c>
      <c r="L19" s="2">
        <v>6</v>
      </c>
      <c r="M19" s="2">
        <v>8</v>
      </c>
      <c r="N19" s="2">
        <v>10</v>
      </c>
      <c r="O19" s="2">
        <v>12</v>
      </c>
      <c r="P19" s="2">
        <v>2</v>
      </c>
      <c r="Q19">
        <f>VLOOKUP(A19,Grupos!A:B,2,0)</f>
        <v>9</v>
      </c>
    </row>
    <row r="20" spans="1:17" x14ac:dyDescent="0.3">
      <c r="A20" s="6" t="s">
        <v>10</v>
      </c>
      <c r="B20" s="1" t="s">
        <v>4</v>
      </c>
      <c r="C20" s="2">
        <v>0</v>
      </c>
      <c r="D20" s="2">
        <v>1</v>
      </c>
      <c r="E20" s="2">
        <v>1</v>
      </c>
      <c r="F20" s="2">
        <v>2</v>
      </c>
      <c r="G20" s="2">
        <v>3</v>
      </c>
      <c r="H20" s="2">
        <v>3</v>
      </c>
      <c r="I20" s="2">
        <v>3</v>
      </c>
      <c r="J20" s="2">
        <v>4</v>
      </c>
      <c r="K20" s="2">
        <v>4</v>
      </c>
      <c r="L20" s="2">
        <v>4</v>
      </c>
      <c r="M20" s="2">
        <v>6</v>
      </c>
      <c r="N20" s="2">
        <v>8</v>
      </c>
      <c r="O20" s="2">
        <v>10</v>
      </c>
      <c r="P20" s="2">
        <v>2</v>
      </c>
      <c r="Q20">
        <f>VLOOKUP(A20,Grupos!A:B,2,0)</f>
        <v>9</v>
      </c>
    </row>
    <row r="21" spans="1:17" x14ac:dyDescent="0.3">
      <c r="A21" s="6" t="s">
        <v>11</v>
      </c>
      <c r="B21" s="1" t="s">
        <v>3</v>
      </c>
      <c r="C21" s="2">
        <v>0</v>
      </c>
      <c r="D21" s="2">
        <v>0</v>
      </c>
      <c r="E21" s="2">
        <v>0</v>
      </c>
      <c r="F21" s="2">
        <v>1</v>
      </c>
      <c r="G21" s="2">
        <v>1</v>
      </c>
      <c r="H21" s="2">
        <v>2</v>
      </c>
      <c r="I21" s="2">
        <v>2</v>
      </c>
      <c r="J21" s="2">
        <v>2</v>
      </c>
      <c r="K21" s="2">
        <v>2</v>
      </c>
      <c r="L21" s="2">
        <v>3</v>
      </c>
      <c r="M21" s="2">
        <v>4</v>
      </c>
      <c r="N21" s="2">
        <v>5</v>
      </c>
      <c r="O21" s="2">
        <v>6</v>
      </c>
      <c r="P21" s="2">
        <v>1</v>
      </c>
      <c r="Q21">
        <f>VLOOKUP(A21,Grupos!A:B,2,0)</f>
        <v>10</v>
      </c>
    </row>
    <row r="22" spans="1:17" x14ac:dyDescent="0.3">
      <c r="A22" s="6" t="s">
        <v>11</v>
      </c>
      <c r="B22" s="1" t="s">
        <v>4</v>
      </c>
      <c r="C22" s="2">
        <v>0</v>
      </c>
      <c r="D22" s="2">
        <v>0</v>
      </c>
      <c r="E22" s="2">
        <v>0</v>
      </c>
      <c r="F22" s="2">
        <v>1</v>
      </c>
      <c r="G22" s="2">
        <v>1</v>
      </c>
      <c r="H22" s="2">
        <v>2</v>
      </c>
      <c r="I22" s="2">
        <v>2</v>
      </c>
      <c r="J22" s="2">
        <v>2</v>
      </c>
      <c r="K22" s="2">
        <v>2</v>
      </c>
      <c r="L22" s="2">
        <v>3</v>
      </c>
      <c r="M22" s="2">
        <v>3</v>
      </c>
      <c r="N22" s="2">
        <v>4</v>
      </c>
      <c r="O22" s="2">
        <v>4</v>
      </c>
      <c r="P22" s="2">
        <v>1</v>
      </c>
      <c r="Q22">
        <f>VLOOKUP(A22,Grupos!A:B,2,0)</f>
        <v>10</v>
      </c>
    </row>
    <row r="23" spans="1:17" x14ac:dyDescent="0.3">
      <c r="A23" s="6" t="s">
        <v>12</v>
      </c>
      <c r="B23" s="1" t="s">
        <v>3</v>
      </c>
      <c r="C23" s="2">
        <v>0</v>
      </c>
      <c r="D23" s="2">
        <v>1</v>
      </c>
      <c r="E23" s="2">
        <v>1</v>
      </c>
      <c r="F23" s="2">
        <v>2</v>
      </c>
      <c r="G23" s="2">
        <v>2</v>
      </c>
      <c r="H23" s="2">
        <v>3</v>
      </c>
      <c r="I23" s="2">
        <v>3</v>
      </c>
      <c r="J23" s="2">
        <v>4</v>
      </c>
      <c r="K23" s="2">
        <v>5</v>
      </c>
      <c r="L23" s="2">
        <v>6</v>
      </c>
      <c r="M23" s="2">
        <v>8</v>
      </c>
      <c r="N23" s="2">
        <v>9</v>
      </c>
      <c r="O23" s="2">
        <v>10</v>
      </c>
      <c r="P23" s="2">
        <v>2</v>
      </c>
      <c r="Q23">
        <f>VLOOKUP(A23,Grupos!A:B,2,0)</f>
        <v>11</v>
      </c>
    </row>
    <row r="24" spans="1:17" x14ac:dyDescent="0.3">
      <c r="A24" s="6" t="s">
        <v>12</v>
      </c>
      <c r="B24" s="1" t="s">
        <v>4</v>
      </c>
      <c r="C24" s="2">
        <v>0</v>
      </c>
      <c r="D24" s="2">
        <v>1</v>
      </c>
      <c r="E24" s="2">
        <v>1</v>
      </c>
      <c r="F24" s="2">
        <v>2</v>
      </c>
      <c r="G24" s="2">
        <v>2</v>
      </c>
      <c r="H24" s="2">
        <v>3</v>
      </c>
      <c r="I24" s="2">
        <v>3</v>
      </c>
      <c r="J24" s="2">
        <v>3</v>
      </c>
      <c r="K24" s="2">
        <v>4</v>
      </c>
      <c r="L24" s="2">
        <v>5</v>
      </c>
      <c r="M24" s="2">
        <v>7</v>
      </c>
      <c r="N24" s="2">
        <v>8</v>
      </c>
      <c r="O24" s="2">
        <v>8</v>
      </c>
      <c r="P24" s="2">
        <v>2</v>
      </c>
      <c r="Q24">
        <f>VLOOKUP(A24,Grupos!A:B,2,0)</f>
        <v>11</v>
      </c>
    </row>
    <row r="25" spans="1:17" x14ac:dyDescent="0.3">
      <c r="A25" s="6" t="s">
        <v>13</v>
      </c>
      <c r="B25" s="1" t="s">
        <v>3</v>
      </c>
      <c r="C25" s="2">
        <v>0</v>
      </c>
      <c r="D25" s="2">
        <v>1</v>
      </c>
      <c r="E25" s="2">
        <v>1</v>
      </c>
      <c r="F25" s="2">
        <v>2</v>
      </c>
      <c r="G25" s="2">
        <v>2</v>
      </c>
      <c r="H25" s="2">
        <v>3</v>
      </c>
      <c r="I25" s="2">
        <v>3</v>
      </c>
      <c r="J25" s="2">
        <v>4</v>
      </c>
      <c r="K25" s="2">
        <v>5</v>
      </c>
      <c r="L25" s="2">
        <v>6</v>
      </c>
      <c r="M25" s="2">
        <v>7</v>
      </c>
      <c r="N25" s="2">
        <v>8</v>
      </c>
      <c r="O25" s="2">
        <v>10</v>
      </c>
      <c r="P25" s="2">
        <v>1</v>
      </c>
      <c r="Q25">
        <f>VLOOKUP(A25,Grupos!A:B,2,0)</f>
        <v>12</v>
      </c>
    </row>
    <row r="26" spans="1:17" x14ac:dyDescent="0.3">
      <c r="A26" s="6" t="s">
        <v>13</v>
      </c>
      <c r="B26" s="1" t="s">
        <v>4</v>
      </c>
      <c r="C26" s="2">
        <v>0</v>
      </c>
      <c r="D26" s="2">
        <v>1</v>
      </c>
      <c r="E26" s="2">
        <v>1</v>
      </c>
      <c r="F26" s="2">
        <v>2</v>
      </c>
      <c r="G26" s="2">
        <v>2</v>
      </c>
      <c r="H26" s="2">
        <v>3</v>
      </c>
      <c r="I26" s="2">
        <v>3</v>
      </c>
      <c r="J26" s="2">
        <v>3</v>
      </c>
      <c r="K26" s="2">
        <v>4</v>
      </c>
      <c r="L26" s="2">
        <v>4</v>
      </c>
      <c r="M26" s="2">
        <v>5</v>
      </c>
      <c r="N26" s="2">
        <v>6</v>
      </c>
      <c r="O26" s="2">
        <v>8</v>
      </c>
      <c r="P26" s="2">
        <v>1</v>
      </c>
      <c r="Q26">
        <f>VLOOKUP(A26,Grupos!A:B,2,0)</f>
        <v>12</v>
      </c>
    </row>
    <row r="27" spans="1:17" x14ac:dyDescent="0.3">
      <c r="A27" s="6" t="s">
        <v>14</v>
      </c>
      <c r="B27" s="1" t="s">
        <v>3</v>
      </c>
      <c r="C27" s="2">
        <v>0</v>
      </c>
      <c r="D27" s="2">
        <v>0</v>
      </c>
      <c r="E27" s="2">
        <v>0</v>
      </c>
      <c r="F27" s="2">
        <v>1</v>
      </c>
      <c r="G27" s="2">
        <v>1</v>
      </c>
      <c r="H27" s="2">
        <v>1</v>
      </c>
      <c r="I27" s="2">
        <v>2</v>
      </c>
      <c r="J27" s="2">
        <v>2</v>
      </c>
      <c r="K27" s="2">
        <v>2</v>
      </c>
      <c r="L27" s="2">
        <v>3</v>
      </c>
      <c r="M27" s="2">
        <v>5</v>
      </c>
      <c r="N27" s="2">
        <v>6</v>
      </c>
      <c r="O27" s="2">
        <v>7</v>
      </c>
      <c r="P27" s="2">
        <v>1</v>
      </c>
      <c r="Q27">
        <f>VLOOKUP(A27,Grupos!A:B,2,0)</f>
        <v>13</v>
      </c>
    </row>
    <row r="28" spans="1:17" x14ac:dyDescent="0.3">
      <c r="A28" s="6" t="s">
        <v>14</v>
      </c>
      <c r="B28" s="1" t="s">
        <v>4</v>
      </c>
      <c r="C28" s="2">
        <v>0</v>
      </c>
      <c r="D28" s="2">
        <v>0</v>
      </c>
      <c r="E28" s="2">
        <v>0</v>
      </c>
      <c r="F28" s="2">
        <v>1</v>
      </c>
      <c r="G28" s="2">
        <v>1</v>
      </c>
      <c r="H28" s="2">
        <v>1</v>
      </c>
      <c r="I28" s="2">
        <v>2</v>
      </c>
      <c r="J28" s="2">
        <v>2</v>
      </c>
      <c r="K28" s="2">
        <v>2</v>
      </c>
      <c r="L28" s="2">
        <v>3</v>
      </c>
      <c r="M28" s="2">
        <v>4</v>
      </c>
      <c r="N28" s="2">
        <v>4</v>
      </c>
      <c r="O28" s="2">
        <v>5</v>
      </c>
      <c r="P28" s="2">
        <v>1</v>
      </c>
      <c r="Q28">
        <f>VLOOKUP(A28,Grupos!A:B,2,0)</f>
        <v>13</v>
      </c>
    </row>
    <row r="29" spans="1:17" x14ac:dyDescent="0.3">
      <c r="A29" s="6" t="s">
        <v>15</v>
      </c>
      <c r="B29" s="1" t="s">
        <v>3</v>
      </c>
      <c r="C29" s="2">
        <v>0</v>
      </c>
      <c r="D29" s="2">
        <v>1</v>
      </c>
      <c r="E29" s="2">
        <v>1</v>
      </c>
      <c r="F29" s="2">
        <v>2</v>
      </c>
      <c r="G29" s="2">
        <v>2</v>
      </c>
      <c r="H29" s="2">
        <v>3</v>
      </c>
      <c r="I29" s="2">
        <v>3</v>
      </c>
      <c r="J29" s="2">
        <v>4</v>
      </c>
      <c r="K29" s="2">
        <v>4</v>
      </c>
      <c r="L29" s="2">
        <v>5</v>
      </c>
      <c r="M29" s="2">
        <v>8</v>
      </c>
      <c r="N29" s="2">
        <v>9</v>
      </c>
      <c r="O29" s="2">
        <v>10</v>
      </c>
      <c r="P29" s="2">
        <v>2</v>
      </c>
      <c r="Q29">
        <f>VLOOKUP(A29,Grupos!A:B,2,0)</f>
        <v>14</v>
      </c>
    </row>
    <row r="30" spans="1:17" x14ac:dyDescent="0.3">
      <c r="A30" s="6" t="s">
        <v>15</v>
      </c>
      <c r="B30" s="1" t="s">
        <v>4</v>
      </c>
      <c r="C30" s="2">
        <v>0</v>
      </c>
      <c r="D30" s="2">
        <v>1</v>
      </c>
      <c r="E30" s="2">
        <v>1</v>
      </c>
      <c r="F30" s="2">
        <v>2</v>
      </c>
      <c r="G30" s="2">
        <v>2</v>
      </c>
      <c r="H30" s="2">
        <v>3</v>
      </c>
      <c r="I30" s="2">
        <v>3</v>
      </c>
      <c r="J30" s="2">
        <v>3</v>
      </c>
      <c r="K30" s="2">
        <v>4</v>
      </c>
      <c r="L30" s="2">
        <v>4</v>
      </c>
      <c r="M30" s="2">
        <v>6</v>
      </c>
      <c r="N30" s="2">
        <v>7</v>
      </c>
      <c r="O30" s="2">
        <v>8</v>
      </c>
      <c r="P30" s="2">
        <v>2</v>
      </c>
      <c r="Q30">
        <f>VLOOKUP(A30,Grupos!A:B,2,0)</f>
        <v>14</v>
      </c>
    </row>
    <row r="31" spans="1:17" x14ac:dyDescent="0.3">
      <c r="A31" s="6" t="s">
        <v>16</v>
      </c>
      <c r="B31" s="1" t="s">
        <v>3</v>
      </c>
      <c r="C31" s="2">
        <v>0</v>
      </c>
      <c r="D31" s="2">
        <v>1</v>
      </c>
      <c r="E31" s="2">
        <v>1</v>
      </c>
      <c r="F31" s="2">
        <v>2</v>
      </c>
      <c r="G31" s="2">
        <v>3</v>
      </c>
      <c r="H31" s="2">
        <v>3</v>
      </c>
      <c r="I31" s="2">
        <v>4</v>
      </c>
      <c r="J31" s="2">
        <v>4</v>
      </c>
      <c r="K31" s="2">
        <v>5</v>
      </c>
      <c r="L31" s="2">
        <v>6</v>
      </c>
      <c r="M31" s="2">
        <v>9</v>
      </c>
      <c r="N31" s="2">
        <v>10</v>
      </c>
      <c r="O31" s="2">
        <v>12</v>
      </c>
      <c r="P31" s="2">
        <v>2</v>
      </c>
      <c r="Q31">
        <f>VLOOKUP(A31,Grupos!A:B,2,0)</f>
        <v>15</v>
      </c>
    </row>
    <row r="32" spans="1:17" x14ac:dyDescent="0.3">
      <c r="A32" s="6" t="s">
        <v>16</v>
      </c>
      <c r="B32" s="1" t="s">
        <v>4</v>
      </c>
      <c r="C32" s="2">
        <v>0</v>
      </c>
      <c r="D32" s="2">
        <v>1</v>
      </c>
      <c r="E32" s="2">
        <v>1</v>
      </c>
      <c r="F32" s="2">
        <v>2</v>
      </c>
      <c r="G32" s="2">
        <v>3</v>
      </c>
      <c r="H32" s="2">
        <v>3</v>
      </c>
      <c r="I32" s="2">
        <v>3</v>
      </c>
      <c r="J32" s="2">
        <v>3</v>
      </c>
      <c r="K32" s="2">
        <v>4</v>
      </c>
      <c r="L32" s="2">
        <v>4</v>
      </c>
      <c r="M32" s="2">
        <v>7</v>
      </c>
      <c r="N32" s="2">
        <v>8</v>
      </c>
      <c r="O32" s="2">
        <v>10</v>
      </c>
      <c r="P32" s="2">
        <v>2</v>
      </c>
      <c r="Q32">
        <f>VLOOKUP(A32,Grupos!A:B,2,0)</f>
        <v>15</v>
      </c>
    </row>
    <row r="33" spans="1:17" x14ac:dyDescent="0.3">
      <c r="A33" s="6" t="s">
        <v>17</v>
      </c>
      <c r="B33" s="1" t="s">
        <v>3</v>
      </c>
      <c r="C33" s="2">
        <v>0</v>
      </c>
      <c r="D33" s="2">
        <v>1</v>
      </c>
      <c r="E33" s="2">
        <v>1</v>
      </c>
      <c r="F33" s="2">
        <v>2</v>
      </c>
      <c r="G33" s="2">
        <v>3</v>
      </c>
      <c r="H33" s="2">
        <v>3</v>
      </c>
      <c r="I33" s="2">
        <v>4</v>
      </c>
      <c r="J33" s="2">
        <v>4</v>
      </c>
      <c r="K33" s="2">
        <v>5</v>
      </c>
      <c r="L33" s="2">
        <v>7</v>
      </c>
      <c r="M33" s="2">
        <v>8</v>
      </c>
      <c r="N33" s="2">
        <v>9</v>
      </c>
      <c r="O33" s="2">
        <v>10</v>
      </c>
      <c r="P33" s="2">
        <v>2</v>
      </c>
      <c r="Q33">
        <f>VLOOKUP(A33,Grupos!A:B,2,0)</f>
        <v>16</v>
      </c>
    </row>
    <row r="34" spans="1:17" x14ac:dyDescent="0.3">
      <c r="A34" s="6" t="s">
        <v>17</v>
      </c>
      <c r="B34" s="1" t="s">
        <v>4</v>
      </c>
      <c r="C34" s="2">
        <v>0</v>
      </c>
      <c r="D34" s="2">
        <v>1</v>
      </c>
      <c r="E34" s="2">
        <v>1</v>
      </c>
      <c r="F34" s="2">
        <v>2</v>
      </c>
      <c r="G34" s="2">
        <v>3</v>
      </c>
      <c r="H34" s="2">
        <v>3</v>
      </c>
      <c r="I34" s="2">
        <v>3</v>
      </c>
      <c r="J34" s="2">
        <v>3</v>
      </c>
      <c r="K34" s="2">
        <v>4</v>
      </c>
      <c r="L34" s="2">
        <v>6</v>
      </c>
      <c r="M34" s="2">
        <v>6</v>
      </c>
      <c r="N34" s="2">
        <v>7</v>
      </c>
      <c r="O34" s="2">
        <v>8</v>
      </c>
      <c r="P34" s="2">
        <v>2</v>
      </c>
      <c r="Q34">
        <f>VLOOKUP(A34,Grupos!A:B,2,0)</f>
        <v>16</v>
      </c>
    </row>
    <row r="35" spans="1:17" x14ac:dyDescent="0.3">
      <c r="A35" s="6" t="s">
        <v>18</v>
      </c>
      <c r="B35" s="1" t="s">
        <v>3</v>
      </c>
      <c r="C35" s="2">
        <v>0</v>
      </c>
      <c r="D35" s="2">
        <v>1</v>
      </c>
      <c r="E35" s="2">
        <v>1</v>
      </c>
      <c r="F35" s="2">
        <v>3</v>
      </c>
      <c r="G35" s="2">
        <v>3</v>
      </c>
      <c r="H35" s="2">
        <v>3</v>
      </c>
      <c r="I35" s="2">
        <v>3</v>
      </c>
      <c r="J35" s="2">
        <v>4</v>
      </c>
      <c r="K35" s="2">
        <v>5</v>
      </c>
      <c r="L35" s="2">
        <v>6</v>
      </c>
      <c r="M35" s="2">
        <v>9</v>
      </c>
      <c r="N35" s="2">
        <v>11</v>
      </c>
      <c r="O35" s="2">
        <v>13</v>
      </c>
      <c r="P35" s="2">
        <v>2</v>
      </c>
      <c r="Q35">
        <f>VLOOKUP(A35,Grupos!A:B,2,0)</f>
        <v>17</v>
      </c>
    </row>
    <row r="36" spans="1:17" x14ac:dyDescent="0.3">
      <c r="A36" s="6" t="s">
        <v>18</v>
      </c>
      <c r="B36" s="1" t="s">
        <v>4</v>
      </c>
      <c r="C36" s="2">
        <v>0</v>
      </c>
      <c r="D36" s="2">
        <v>1</v>
      </c>
      <c r="E36" s="2">
        <v>1</v>
      </c>
      <c r="F36" s="2">
        <v>3</v>
      </c>
      <c r="G36" s="2">
        <v>3</v>
      </c>
      <c r="H36" s="2">
        <v>3</v>
      </c>
      <c r="I36" s="2">
        <v>3</v>
      </c>
      <c r="J36" s="2">
        <v>3</v>
      </c>
      <c r="K36" s="2">
        <v>4</v>
      </c>
      <c r="L36" s="2">
        <v>5</v>
      </c>
      <c r="M36" s="2">
        <v>7</v>
      </c>
      <c r="N36" s="2">
        <v>8</v>
      </c>
      <c r="O36" s="2">
        <v>10</v>
      </c>
      <c r="P36" s="2">
        <v>2</v>
      </c>
      <c r="Q36">
        <f>VLOOKUP(A36,Grupos!A:B,2,0)</f>
        <v>17</v>
      </c>
    </row>
    <row r="37" spans="1:17" x14ac:dyDescent="0.3">
      <c r="A37" s="6" t="s">
        <v>19</v>
      </c>
      <c r="B37" s="1" t="s">
        <v>3</v>
      </c>
      <c r="C37" s="2">
        <v>0</v>
      </c>
      <c r="D37" s="2">
        <v>1</v>
      </c>
      <c r="E37" s="2">
        <v>1</v>
      </c>
      <c r="F37" s="2">
        <v>2</v>
      </c>
      <c r="G37" s="2">
        <v>2</v>
      </c>
      <c r="H37" s="2">
        <v>3</v>
      </c>
      <c r="I37" s="2">
        <v>4</v>
      </c>
      <c r="J37" s="2">
        <v>4</v>
      </c>
      <c r="K37" s="2">
        <v>5</v>
      </c>
      <c r="L37" s="2">
        <v>6</v>
      </c>
      <c r="M37" s="2">
        <v>9</v>
      </c>
      <c r="N37" s="2">
        <v>11</v>
      </c>
      <c r="O37" s="2">
        <v>11</v>
      </c>
      <c r="P37" s="2">
        <v>2</v>
      </c>
      <c r="Q37">
        <f>VLOOKUP(A37,Grupos!A:B,2,0)</f>
        <v>18</v>
      </c>
    </row>
    <row r="38" spans="1:17" x14ac:dyDescent="0.3">
      <c r="A38" s="6" t="s">
        <v>19</v>
      </c>
      <c r="B38" s="1" t="s">
        <v>4</v>
      </c>
      <c r="C38" s="2">
        <v>0</v>
      </c>
      <c r="D38" s="2">
        <v>1</v>
      </c>
      <c r="E38" s="2">
        <v>1</v>
      </c>
      <c r="F38" s="2">
        <v>2</v>
      </c>
      <c r="G38" s="2">
        <v>2</v>
      </c>
      <c r="H38" s="2">
        <v>3</v>
      </c>
      <c r="I38" s="2">
        <v>3</v>
      </c>
      <c r="J38" s="2">
        <v>4</v>
      </c>
      <c r="K38" s="2">
        <v>4</v>
      </c>
      <c r="L38" s="2">
        <v>5</v>
      </c>
      <c r="M38" s="2">
        <v>7</v>
      </c>
      <c r="N38" s="2">
        <v>9</v>
      </c>
      <c r="O38" s="2">
        <v>9</v>
      </c>
      <c r="P38" s="2">
        <v>2</v>
      </c>
      <c r="Q38">
        <f>VLOOKUP(A38,Grupos!A:B,2,0)</f>
        <v>18</v>
      </c>
    </row>
    <row r="39" spans="1:17" x14ac:dyDescent="0.3">
      <c r="A39" s="6" t="s">
        <v>20</v>
      </c>
      <c r="B39" s="1" t="s">
        <v>3</v>
      </c>
      <c r="C39" s="2">
        <v>0</v>
      </c>
      <c r="D39" s="2">
        <v>0</v>
      </c>
      <c r="E39" s="2">
        <v>0</v>
      </c>
      <c r="F39" s="2">
        <v>1</v>
      </c>
      <c r="G39" s="2">
        <v>1</v>
      </c>
      <c r="H39" s="2">
        <v>2</v>
      </c>
      <c r="I39" s="2">
        <v>2</v>
      </c>
      <c r="J39" s="2">
        <v>2</v>
      </c>
      <c r="K39" s="2">
        <v>3</v>
      </c>
      <c r="L39" s="2">
        <v>3</v>
      </c>
      <c r="M39" s="2">
        <v>4</v>
      </c>
      <c r="N39" s="2">
        <v>5</v>
      </c>
      <c r="O39" s="2">
        <v>6</v>
      </c>
      <c r="P39" s="2">
        <v>1</v>
      </c>
      <c r="Q39">
        <f>VLOOKUP(A39,Grupos!A:B,2,0)</f>
        <v>19</v>
      </c>
    </row>
    <row r="40" spans="1:17" x14ac:dyDescent="0.3">
      <c r="A40" s="6" t="s">
        <v>20</v>
      </c>
      <c r="B40" s="1" t="s">
        <v>4</v>
      </c>
      <c r="C40" s="2">
        <v>0</v>
      </c>
      <c r="D40" s="2">
        <v>0</v>
      </c>
      <c r="E40" s="2">
        <v>0</v>
      </c>
      <c r="F40" s="2">
        <v>1</v>
      </c>
      <c r="G40" s="2">
        <v>1</v>
      </c>
      <c r="H40" s="2">
        <v>2</v>
      </c>
      <c r="I40" s="2">
        <v>2</v>
      </c>
      <c r="J40" s="2">
        <v>2</v>
      </c>
      <c r="K40" s="2">
        <v>3</v>
      </c>
      <c r="L40" s="2">
        <v>3</v>
      </c>
      <c r="M40" s="2">
        <v>3</v>
      </c>
      <c r="N40" s="2">
        <v>4</v>
      </c>
      <c r="O40" s="2">
        <v>4</v>
      </c>
      <c r="P40" s="2">
        <v>1</v>
      </c>
      <c r="Q40">
        <f>VLOOKUP(A40,Grupos!A:B,2,0)</f>
        <v>19</v>
      </c>
    </row>
    <row r="41" spans="1:17" x14ac:dyDescent="0.3">
      <c r="A41" s="6" t="s">
        <v>21</v>
      </c>
      <c r="B41" s="1" t="s">
        <v>3</v>
      </c>
      <c r="C41" s="2">
        <v>0</v>
      </c>
      <c r="D41" s="2">
        <v>1</v>
      </c>
      <c r="E41" s="2">
        <v>1</v>
      </c>
      <c r="F41" s="2">
        <v>3</v>
      </c>
      <c r="G41" s="2">
        <v>3</v>
      </c>
      <c r="H41" s="2">
        <v>4</v>
      </c>
      <c r="I41" s="2">
        <v>4</v>
      </c>
      <c r="J41" s="2">
        <v>4</v>
      </c>
      <c r="K41" s="2">
        <v>5</v>
      </c>
      <c r="L41" s="2">
        <v>6</v>
      </c>
      <c r="M41" s="2">
        <v>8</v>
      </c>
      <c r="N41" s="2">
        <v>10</v>
      </c>
      <c r="O41" s="2">
        <v>12</v>
      </c>
      <c r="P41" s="2">
        <v>2</v>
      </c>
      <c r="Q41">
        <f>VLOOKUP(A41,Grupos!A:B,2,0)</f>
        <v>20</v>
      </c>
    </row>
    <row r="42" spans="1:17" x14ac:dyDescent="0.3">
      <c r="A42" s="6" t="s">
        <v>21</v>
      </c>
      <c r="B42" s="1" t="s">
        <v>4</v>
      </c>
      <c r="C42" s="2">
        <v>0</v>
      </c>
      <c r="D42" s="2">
        <v>1</v>
      </c>
      <c r="E42" s="2">
        <v>1</v>
      </c>
      <c r="F42" s="2">
        <v>3</v>
      </c>
      <c r="G42" s="2">
        <v>3</v>
      </c>
      <c r="H42" s="2">
        <v>3</v>
      </c>
      <c r="I42" s="2">
        <v>3</v>
      </c>
      <c r="J42" s="2">
        <v>3</v>
      </c>
      <c r="K42" s="2">
        <v>4</v>
      </c>
      <c r="L42" s="2">
        <v>4</v>
      </c>
      <c r="M42" s="2">
        <v>6</v>
      </c>
      <c r="N42" s="2">
        <v>8</v>
      </c>
      <c r="O42" s="2">
        <v>10</v>
      </c>
      <c r="P42" s="2">
        <v>2</v>
      </c>
      <c r="Q42">
        <f>VLOOKUP(A42,Grupos!A:B,2,0)</f>
        <v>20</v>
      </c>
    </row>
    <row r="43" spans="1:17" x14ac:dyDescent="0.3">
      <c r="A43" s="6" t="s">
        <v>22</v>
      </c>
      <c r="B43" s="1" t="s">
        <v>3</v>
      </c>
      <c r="C43" s="2">
        <v>0</v>
      </c>
      <c r="D43" s="2">
        <v>1</v>
      </c>
      <c r="E43" s="2">
        <v>1</v>
      </c>
      <c r="F43" s="2">
        <v>2</v>
      </c>
      <c r="G43" s="2">
        <v>3</v>
      </c>
      <c r="H43" s="2">
        <v>3</v>
      </c>
      <c r="I43" s="2">
        <v>3</v>
      </c>
      <c r="J43" s="2">
        <v>4</v>
      </c>
      <c r="K43" s="2">
        <v>5</v>
      </c>
      <c r="L43" s="2">
        <v>6</v>
      </c>
      <c r="M43" s="2">
        <v>8</v>
      </c>
      <c r="N43" s="2">
        <v>10</v>
      </c>
      <c r="O43" s="2">
        <v>12</v>
      </c>
      <c r="P43" s="2">
        <v>2</v>
      </c>
      <c r="Q43">
        <f>VLOOKUP(A43,Grupos!A:B,2,0)</f>
        <v>21</v>
      </c>
    </row>
    <row r="44" spans="1:17" x14ac:dyDescent="0.3">
      <c r="A44" s="6" t="s">
        <v>22</v>
      </c>
      <c r="B44" s="1" t="s">
        <v>4</v>
      </c>
      <c r="C44" s="2">
        <v>0</v>
      </c>
      <c r="D44" s="2">
        <v>1</v>
      </c>
      <c r="E44" s="2">
        <v>1</v>
      </c>
      <c r="F44" s="2">
        <v>2</v>
      </c>
      <c r="G44" s="2">
        <v>3</v>
      </c>
      <c r="H44" s="2">
        <v>3</v>
      </c>
      <c r="I44" s="2">
        <v>3</v>
      </c>
      <c r="J44" s="2">
        <v>3</v>
      </c>
      <c r="K44" s="2">
        <v>4</v>
      </c>
      <c r="L44" s="2">
        <v>4</v>
      </c>
      <c r="M44" s="2">
        <v>6</v>
      </c>
      <c r="N44" s="2">
        <v>7</v>
      </c>
      <c r="O44" s="2">
        <v>9</v>
      </c>
      <c r="P44" s="2">
        <v>2</v>
      </c>
      <c r="Q44">
        <f>VLOOKUP(A44,Grupos!A:B,2,0)</f>
        <v>21</v>
      </c>
    </row>
    <row r="45" spans="1:17" x14ac:dyDescent="0.3">
      <c r="A45" s="6" t="s">
        <v>23</v>
      </c>
      <c r="B45" s="1" t="s">
        <v>3</v>
      </c>
      <c r="C45" s="2">
        <v>0</v>
      </c>
      <c r="D45" s="2">
        <v>1</v>
      </c>
      <c r="E45" s="2">
        <v>1</v>
      </c>
      <c r="F45" s="2">
        <v>2</v>
      </c>
      <c r="G45" s="2">
        <v>2</v>
      </c>
      <c r="H45" s="2">
        <v>4</v>
      </c>
      <c r="I45" s="2">
        <v>4</v>
      </c>
      <c r="J45" s="2">
        <v>4</v>
      </c>
      <c r="K45" s="2">
        <v>4</v>
      </c>
      <c r="L45" s="2">
        <v>6</v>
      </c>
      <c r="M45" s="2">
        <v>8</v>
      </c>
      <c r="N45" s="2">
        <v>10</v>
      </c>
      <c r="O45" s="2">
        <v>12</v>
      </c>
      <c r="P45" s="2">
        <v>2</v>
      </c>
      <c r="Q45">
        <f>VLOOKUP(A45,Grupos!A:B,2,0)</f>
        <v>22</v>
      </c>
    </row>
    <row r="46" spans="1:17" x14ac:dyDescent="0.3">
      <c r="A46" s="6" t="s">
        <v>23</v>
      </c>
      <c r="B46" s="1" t="s">
        <v>4</v>
      </c>
      <c r="C46" s="2">
        <v>0</v>
      </c>
      <c r="D46" s="2">
        <v>1</v>
      </c>
      <c r="E46" s="2">
        <v>1</v>
      </c>
      <c r="F46" s="2">
        <v>2</v>
      </c>
      <c r="G46" s="2">
        <v>2</v>
      </c>
      <c r="H46" s="2">
        <v>3</v>
      </c>
      <c r="I46" s="2">
        <v>3</v>
      </c>
      <c r="J46" s="2">
        <v>3</v>
      </c>
      <c r="K46" s="2">
        <v>4</v>
      </c>
      <c r="L46" s="2">
        <v>5</v>
      </c>
      <c r="M46" s="2">
        <v>7</v>
      </c>
      <c r="N46" s="2">
        <v>8</v>
      </c>
      <c r="O46" s="2">
        <v>10</v>
      </c>
      <c r="P46" s="2">
        <v>2</v>
      </c>
      <c r="Q46">
        <f>VLOOKUP(A46,Grupos!A:B,2,0)</f>
        <v>22</v>
      </c>
    </row>
    <row r="47" spans="1:17" x14ac:dyDescent="0.3">
      <c r="A47" s="6" t="s">
        <v>24</v>
      </c>
      <c r="B47" s="1" t="s">
        <v>3</v>
      </c>
      <c r="C47" s="2">
        <v>0</v>
      </c>
      <c r="D47" s="2">
        <v>0</v>
      </c>
      <c r="E47" s="2">
        <v>0</v>
      </c>
      <c r="F47" s="2">
        <v>2</v>
      </c>
      <c r="G47" s="2">
        <v>2</v>
      </c>
      <c r="H47" s="2">
        <v>4</v>
      </c>
      <c r="I47" s="2">
        <v>4</v>
      </c>
      <c r="J47" s="2">
        <v>4</v>
      </c>
      <c r="K47" s="2">
        <v>4</v>
      </c>
      <c r="L47" s="2">
        <v>6</v>
      </c>
      <c r="M47" s="2">
        <v>8</v>
      </c>
      <c r="N47" s="2">
        <v>10</v>
      </c>
      <c r="O47" s="2">
        <v>12</v>
      </c>
      <c r="P47" s="2">
        <v>2</v>
      </c>
      <c r="Q47">
        <f>VLOOKUP(A47,Grupos!A:B,2,0)</f>
        <v>23</v>
      </c>
    </row>
    <row r="48" spans="1:17" x14ac:dyDescent="0.3">
      <c r="A48" s="6" t="s">
        <v>24</v>
      </c>
      <c r="B48" s="1" t="s">
        <v>4</v>
      </c>
      <c r="C48" s="2">
        <v>0</v>
      </c>
      <c r="D48" s="2">
        <v>0</v>
      </c>
      <c r="E48" s="2">
        <v>0</v>
      </c>
      <c r="F48" s="2">
        <v>2</v>
      </c>
      <c r="G48" s="2">
        <v>2</v>
      </c>
      <c r="H48" s="2">
        <v>3</v>
      </c>
      <c r="I48" s="2">
        <v>3</v>
      </c>
      <c r="J48" s="2">
        <v>3</v>
      </c>
      <c r="K48" s="2">
        <v>4</v>
      </c>
      <c r="L48" s="2">
        <v>5</v>
      </c>
      <c r="M48" s="2">
        <v>7</v>
      </c>
      <c r="N48" s="2">
        <v>8</v>
      </c>
      <c r="O48" s="2">
        <v>10</v>
      </c>
      <c r="P48" s="2">
        <v>2</v>
      </c>
      <c r="Q48">
        <f>VLOOKUP(A48,Grupos!A:B,2,0)</f>
        <v>23</v>
      </c>
    </row>
    <row r="49" spans="1:17" x14ac:dyDescent="0.3">
      <c r="A49" s="6" t="s">
        <v>25</v>
      </c>
      <c r="B49" s="1" t="s">
        <v>3</v>
      </c>
      <c r="C49" s="2">
        <v>0</v>
      </c>
      <c r="D49" s="2">
        <v>0</v>
      </c>
      <c r="E49" s="2">
        <v>0</v>
      </c>
      <c r="F49" s="2">
        <v>3</v>
      </c>
      <c r="G49" s="2">
        <v>3</v>
      </c>
      <c r="H49" s="2">
        <v>4</v>
      </c>
      <c r="I49" s="2">
        <v>4</v>
      </c>
      <c r="J49" s="2">
        <v>4</v>
      </c>
      <c r="K49" s="2">
        <v>4</v>
      </c>
      <c r="L49" s="2">
        <v>6</v>
      </c>
      <c r="M49" s="2">
        <v>9</v>
      </c>
      <c r="N49" s="2">
        <v>12</v>
      </c>
      <c r="O49" s="2">
        <v>15</v>
      </c>
      <c r="P49" s="2">
        <v>2</v>
      </c>
      <c r="Q49">
        <f>VLOOKUP(A49,Grupos!A:B,2,0)</f>
        <v>24</v>
      </c>
    </row>
    <row r="50" spans="1:17" x14ac:dyDescent="0.3">
      <c r="A50" s="6" t="s">
        <v>25</v>
      </c>
      <c r="B50" s="1" t="s">
        <v>4</v>
      </c>
      <c r="C50" s="2">
        <v>0</v>
      </c>
      <c r="D50" s="2">
        <v>0</v>
      </c>
      <c r="E50" s="2">
        <v>0</v>
      </c>
      <c r="F50" s="2">
        <v>3</v>
      </c>
      <c r="G50" s="2">
        <v>3</v>
      </c>
      <c r="H50" s="2">
        <v>3</v>
      </c>
      <c r="I50" s="2">
        <v>3</v>
      </c>
      <c r="J50" s="2">
        <v>3</v>
      </c>
      <c r="K50" s="2">
        <v>4</v>
      </c>
      <c r="L50" s="2">
        <v>5</v>
      </c>
      <c r="M50" s="2">
        <v>7</v>
      </c>
      <c r="N50" s="2">
        <v>9</v>
      </c>
      <c r="O50" s="2">
        <v>12</v>
      </c>
      <c r="P50" s="2">
        <v>2</v>
      </c>
      <c r="Q50">
        <f>VLOOKUP(A50,Grupos!A:B,2,0)</f>
        <v>24</v>
      </c>
    </row>
    <row r="51" spans="1:17" x14ac:dyDescent="0.3">
      <c r="A51" s="6" t="s">
        <v>26</v>
      </c>
      <c r="B51" s="1" t="s">
        <v>3</v>
      </c>
      <c r="C51" s="2">
        <v>0</v>
      </c>
      <c r="D51" s="2">
        <v>0</v>
      </c>
      <c r="E51" s="2">
        <v>0</v>
      </c>
      <c r="F51" s="2">
        <v>1</v>
      </c>
      <c r="G51" s="2">
        <v>1</v>
      </c>
      <c r="H51" s="2">
        <v>2</v>
      </c>
      <c r="I51" s="2">
        <v>2</v>
      </c>
      <c r="J51" s="2">
        <v>2</v>
      </c>
      <c r="K51" s="2">
        <v>3</v>
      </c>
      <c r="L51" s="2">
        <v>3</v>
      </c>
      <c r="M51" s="2">
        <v>4</v>
      </c>
      <c r="N51" s="2">
        <v>5</v>
      </c>
      <c r="O51" s="2">
        <v>6</v>
      </c>
      <c r="P51" s="2">
        <v>1</v>
      </c>
      <c r="Q51">
        <f>VLOOKUP(A51,Grupos!A:B,2,0)</f>
        <v>25</v>
      </c>
    </row>
    <row r="52" spans="1:17" x14ac:dyDescent="0.3">
      <c r="A52" s="6" t="s">
        <v>26</v>
      </c>
      <c r="B52" s="1" t="s">
        <v>4</v>
      </c>
      <c r="C52" s="2">
        <v>0</v>
      </c>
      <c r="D52" s="2">
        <v>0</v>
      </c>
      <c r="E52" s="2">
        <v>0</v>
      </c>
      <c r="F52" s="2">
        <v>1</v>
      </c>
      <c r="G52" s="2">
        <v>1</v>
      </c>
      <c r="H52" s="2">
        <v>2</v>
      </c>
      <c r="I52" s="2">
        <v>2</v>
      </c>
      <c r="J52" s="2">
        <v>2</v>
      </c>
      <c r="K52" s="2">
        <v>3</v>
      </c>
      <c r="L52" s="2">
        <v>3</v>
      </c>
      <c r="M52" s="2">
        <v>3</v>
      </c>
      <c r="N52" s="2">
        <v>4</v>
      </c>
      <c r="O52" s="2">
        <v>4</v>
      </c>
      <c r="P52" s="2">
        <v>1</v>
      </c>
      <c r="Q52">
        <f>VLOOKUP(A52,Grupos!A:B,2,0)</f>
        <v>25</v>
      </c>
    </row>
    <row r="53" spans="1:17" x14ac:dyDescent="0.3">
      <c r="A53" s="6" t="s">
        <v>27</v>
      </c>
      <c r="B53" s="1" t="s">
        <v>3</v>
      </c>
      <c r="C53" s="2">
        <v>0</v>
      </c>
      <c r="D53" s="2">
        <v>0</v>
      </c>
      <c r="E53" s="2">
        <v>1</v>
      </c>
      <c r="F53" s="2">
        <v>1</v>
      </c>
      <c r="G53" s="2">
        <v>3</v>
      </c>
      <c r="H53" s="2">
        <v>3</v>
      </c>
      <c r="I53" s="2">
        <v>3</v>
      </c>
      <c r="J53" s="2">
        <v>3</v>
      </c>
      <c r="K53" s="2">
        <v>4</v>
      </c>
      <c r="L53" s="2">
        <v>5</v>
      </c>
      <c r="M53" s="2">
        <v>5</v>
      </c>
      <c r="N53" s="2">
        <v>6</v>
      </c>
      <c r="O53" s="2">
        <v>8</v>
      </c>
      <c r="P53" s="2">
        <v>2</v>
      </c>
      <c r="Q53">
        <f>VLOOKUP(A53,Grupos!A:B,2,0)</f>
        <v>26</v>
      </c>
    </row>
    <row r="54" spans="1:17" x14ac:dyDescent="0.3">
      <c r="A54" s="6" t="s">
        <v>27</v>
      </c>
      <c r="B54" s="1" t="s">
        <v>4</v>
      </c>
      <c r="C54" s="2">
        <v>0</v>
      </c>
      <c r="D54" s="2">
        <v>0</v>
      </c>
      <c r="E54" s="2">
        <v>1</v>
      </c>
      <c r="F54" s="2">
        <v>1</v>
      </c>
      <c r="G54" s="2">
        <v>3</v>
      </c>
      <c r="H54" s="2">
        <v>3</v>
      </c>
      <c r="I54" s="2">
        <v>3</v>
      </c>
      <c r="J54" s="2">
        <v>3</v>
      </c>
      <c r="K54" s="2">
        <v>3</v>
      </c>
      <c r="L54" s="2">
        <v>4</v>
      </c>
      <c r="M54" s="2">
        <v>4</v>
      </c>
      <c r="N54" s="2">
        <v>5</v>
      </c>
      <c r="O54" s="2">
        <v>6</v>
      </c>
      <c r="P54" s="2">
        <v>1</v>
      </c>
      <c r="Q54">
        <f>VLOOKUP(A54,Grupos!A:B,2,0)</f>
        <v>26</v>
      </c>
    </row>
    <row r="55" spans="1:17" x14ac:dyDescent="0.3">
      <c r="A55" s="6" t="s">
        <v>28</v>
      </c>
      <c r="B55" s="1" t="s">
        <v>3</v>
      </c>
      <c r="C55" s="2">
        <v>0</v>
      </c>
      <c r="D55" s="2">
        <v>0</v>
      </c>
      <c r="E55" s="2">
        <v>0</v>
      </c>
      <c r="F55" s="2">
        <v>1</v>
      </c>
      <c r="G55" s="2">
        <v>1</v>
      </c>
      <c r="H55" s="2">
        <v>2</v>
      </c>
      <c r="I55" s="2">
        <v>2</v>
      </c>
      <c r="J55" s="2">
        <v>2</v>
      </c>
      <c r="K55" s="2">
        <v>3</v>
      </c>
      <c r="L55" s="2">
        <v>3</v>
      </c>
      <c r="M55" s="2">
        <v>4</v>
      </c>
      <c r="N55" s="2">
        <v>5</v>
      </c>
      <c r="O55" s="2">
        <v>6</v>
      </c>
      <c r="P55" s="2">
        <v>1</v>
      </c>
      <c r="Q55">
        <f>VLOOKUP(A55,Grupos!A:B,2,0)</f>
        <v>27</v>
      </c>
    </row>
    <row r="56" spans="1:17" x14ac:dyDescent="0.3">
      <c r="A56" s="6" t="s">
        <v>28</v>
      </c>
      <c r="B56" s="1" t="s">
        <v>4</v>
      </c>
      <c r="C56" s="2">
        <v>0</v>
      </c>
      <c r="D56" s="2">
        <v>0</v>
      </c>
      <c r="E56" s="2">
        <v>0</v>
      </c>
      <c r="F56" s="2">
        <v>1</v>
      </c>
      <c r="G56" s="2">
        <v>1</v>
      </c>
      <c r="H56" s="2">
        <v>2</v>
      </c>
      <c r="I56" s="2">
        <v>2</v>
      </c>
      <c r="J56" s="2">
        <v>2</v>
      </c>
      <c r="K56" s="2">
        <v>3</v>
      </c>
      <c r="L56" s="2">
        <v>3</v>
      </c>
      <c r="M56" s="2">
        <v>3</v>
      </c>
      <c r="N56" s="2">
        <v>4</v>
      </c>
      <c r="O56" s="2">
        <v>5</v>
      </c>
      <c r="P56" s="2">
        <v>1</v>
      </c>
      <c r="Q56">
        <f>VLOOKUP(A56,Grupos!A:B,2,0)</f>
        <v>27</v>
      </c>
    </row>
    <row r="57" spans="1:17" x14ac:dyDescent="0.3">
      <c r="A57" s="6" t="s">
        <v>29</v>
      </c>
      <c r="B57" s="3" t="s">
        <v>3</v>
      </c>
      <c r="C57" s="2">
        <v>0</v>
      </c>
      <c r="D57" s="2">
        <v>1</v>
      </c>
      <c r="E57" s="2">
        <v>1</v>
      </c>
      <c r="F57" s="2">
        <v>2</v>
      </c>
      <c r="G57" s="2">
        <v>2</v>
      </c>
      <c r="H57" s="2">
        <v>3</v>
      </c>
      <c r="I57" s="2">
        <v>3</v>
      </c>
      <c r="J57" s="2">
        <v>4</v>
      </c>
      <c r="K57" s="2">
        <v>4</v>
      </c>
      <c r="L57" s="2">
        <v>6</v>
      </c>
      <c r="M57" s="2">
        <v>8</v>
      </c>
      <c r="N57" s="2">
        <v>10</v>
      </c>
      <c r="O57" s="2">
        <v>12</v>
      </c>
      <c r="P57" s="2">
        <v>2</v>
      </c>
      <c r="Q57">
        <f>VLOOKUP(A57,Grupos!A:B,2,0)</f>
        <v>28</v>
      </c>
    </row>
    <row r="58" spans="1:17" x14ac:dyDescent="0.3">
      <c r="A58" s="6" t="s">
        <v>29</v>
      </c>
      <c r="B58" s="1" t="s">
        <v>4</v>
      </c>
      <c r="C58" s="2">
        <v>0</v>
      </c>
      <c r="D58" s="2">
        <v>1</v>
      </c>
      <c r="E58" s="2">
        <v>1</v>
      </c>
      <c r="F58" s="2">
        <v>2</v>
      </c>
      <c r="G58" s="2">
        <v>2</v>
      </c>
      <c r="H58" s="2">
        <v>3</v>
      </c>
      <c r="I58" s="2">
        <v>3</v>
      </c>
      <c r="J58" s="2">
        <v>3</v>
      </c>
      <c r="K58" s="2">
        <v>3</v>
      </c>
      <c r="L58" s="2">
        <v>5</v>
      </c>
      <c r="M58" s="2">
        <v>6</v>
      </c>
      <c r="N58" s="2">
        <v>8</v>
      </c>
      <c r="O58" s="2">
        <v>9</v>
      </c>
      <c r="P58" s="2">
        <v>2</v>
      </c>
      <c r="Q58">
        <f>VLOOKUP(A58,Grupos!A:B,2,0)</f>
        <v>28</v>
      </c>
    </row>
    <row r="59" spans="1:17" x14ac:dyDescent="0.3">
      <c r="A59" s="6" t="s">
        <v>30</v>
      </c>
      <c r="B59" s="1" t="s">
        <v>3</v>
      </c>
      <c r="C59" s="2">
        <v>0</v>
      </c>
      <c r="D59" s="2">
        <v>0</v>
      </c>
      <c r="E59" s="2">
        <v>0</v>
      </c>
      <c r="F59" s="2">
        <v>1</v>
      </c>
      <c r="G59" s="2">
        <v>1</v>
      </c>
      <c r="H59" s="2">
        <v>2</v>
      </c>
      <c r="I59" s="2">
        <v>2</v>
      </c>
      <c r="J59" s="2">
        <v>2</v>
      </c>
      <c r="K59" s="2">
        <v>2</v>
      </c>
      <c r="L59" s="2">
        <v>3</v>
      </c>
      <c r="M59" s="2">
        <v>4</v>
      </c>
      <c r="N59" s="2">
        <v>5</v>
      </c>
      <c r="O59" s="2">
        <v>6</v>
      </c>
      <c r="P59" s="2">
        <v>1</v>
      </c>
      <c r="Q59">
        <f>VLOOKUP(A59,Grupos!A:B,2,0)</f>
        <v>29</v>
      </c>
    </row>
    <row r="60" spans="1:17" x14ac:dyDescent="0.3">
      <c r="A60" s="6" t="s">
        <v>30</v>
      </c>
      <c r="B60" s="1" t="s">
        <v>4</v>
      </c>
      <c r="C60" s="2">
        <v>0</v>
      </c>
      <c r="D60" s="2">
        <v>0</v>
      </c>
      <c r="E60" s="2">
        <v>0</v>
      </c>
      <c r="F60" s="2">
        <v>1</v>
      </c>
      <c r="G60" s="2">
        <v>1</v>
      </c>
      <c r="H60" s="2">
        <v>2</v>
      </c>
      <c r="I60" s="2">
        <v>2</v>
      </c>
      <c r="J60" s="2">
        <v>2</v>
      </c>
      <c r="K60" s="2">
        <v>2</v>
      </c>
      <c r="L60" s="2">
        <v>3</v>
      </c>
      <c r="M60" s="2">
        <v>3</v>
      </c>
      <c r="N60" s="2">
        <v>4</v>
      </c>
      <c r="O60" s="2">
        <v>5</v>
      </c>
      <c r="P60" s="2">
        <v>1</v>
      </c>
      <c r="Q60">
        <f>VLOOKUP(A60,Grupos!A:B,2,0)</f>
        <v>29</v>
      </c>
    </row>
    <row r="61" spans="1:17" x14ac:dyDescent="0.3">
      <c r="A61" s="6" t="s">
        <v>31</v>
      </c>
      <c r="B61" s="1" t="s">
        <v>3</v>
      </c>
      <c r="C61" s="2">
        <v>0</v>
      </c>
      <c r="D61" s="2">
        <v>1</v>
      </c>
      <c r="E61" s="2">
        <v>1</v>
      </c>
      <c r="F61" s="2">
        <v>2</v>
      </c>
      <c r="G61" s="2">
        <v>2</v>
      </c>
      <c r="H61" s="2">
        <v>4</v>
      </c>
      <c r="I61" s="2">
        <v>4</v>
      </c>
      <c r="J61" s="2">
        <v>4</v>
      </c>
      <c r="K61" s="2">
        <v>4</v>
      </c>
      <c r="L61" s="2">
        <v>6</v>
      </c>
      <c r="M61" s="2">
        <v>8</v>
      </c>
      <c r="N61" s="2">
        <v>10</v>
      </c>
      <c r="O61" s="2">
        <v>12</v>
      </c>
      <c r="P61" s="2">
        <v>2</v>
      </c>
      <c r="Q61">
        <f>VLOOKUP(A61,Grupos!A:B,2,0)</f>
        <v>30</v>
      </c>
    </row>
    <row r="62" spans="1:17" x14ac:dyDescent="0.3">
      <c r="A62" s="6" t="s">
        <v>31</v>
      </c>
      <c r="B62" s="1" t="s">
        <v>4</v>
      </c>
      <c r="C62" s="2">
        <v>0</v>
      </c>
      <c r="D62" s="2">
        <v>1</v>
      </c>
      <c r="E62" s="2">
        <v>1</v>
      </c>
      <c r="F62" s="2">
        <v>2</v>
      </c>
      <c r="G62" s="2">
        <v>2</v>
      </c>
      <c r="H62" s="2">
        <v>3</v>
      </c>
      <c r="I62" s="2">
        <v>3</v>
      </c>
      <c r="J62" s="2">
        <v>4</v>
      </c>
      <c r="K62" s="2">
        <v>4</v>
      </c>
      <c r="L62" s="2">
        <v>5</v>
      </c>
      <c r="M62" s="2">
        <v>7</v>
      </c>
      <c r="N62" s="2">
        <v>8</v>
      </c>
      <c r="O62" s="2">
        <v>10</v>
      </c>
      <c r="P62" s="2">
        <v>2</v>
      </c>
      <c r="Q62">
        <f>VLOOKUP(A62,Grupos!A:B,2,0)</f>
        <v>30</v>
      </c>
    </row>
    <row r="63" spans="1:17" x14ac:dyDescent="0.3">
      <c r="A63" s="6" t="s">
        <v>32</v>
      </c>
      <c r="B63" s="1" t="s">
        <v>3</v>
      </c>
      <c r="C63" s="2">
        <v>0</v>
      </c>
      <c r="D63" s="2">
        <v>0</v>
      </c>
      <c r="E63" s="2">
        <v>0</v>
      </c>
      <c r="F63" s="2">
        <v>1</v>
      </c>
      <c r="G63" s="2">
        <v>1</v>
      </c>
      <c r="H63" s="2">
        <v>2</v>
      </c>
      <c r="I63" s="2">
        <v>2</v>
      </c>
      <c r="J63" s="2">
        <v>2</v>
      </c>
      <c r="K63" s="2">
        <v>2</v>
      </c>
      <c r="L63" s="2">
        <v>3</v>
      </c>
      <c r="M63" s="2">
        <v>4</v>
      </c>
      <c r="N63" s="2">
        <v>5</v>
      </c>
      <c r="O63" s="2">
        <v>6</v>
      </c>
      <c r="P63" s="2">
        <v>1</v>
      </c>
      <c r="Q63">
        <f>VLOOKUP(A63,Grupos!A:B,2,0)</f>
        <v>31</v>
      </c>
    </row>
    <row r="64" spans="1:17" x14ac:dyDescent="0.3">
      <c r="A64" s="6" t="s">
        <v>32</v>
      </c>
      <c r="B64" s="1" t="s">
        <v>4</v>
      </c>
      <c r="C64" s="2">
        <v>0</v>
      </c>
      <c r="D64" s="2">
        <v>0</v>
      </c>
      <c r="E64" s="2">
        <v>0</v>
      </c>
      <c r="F64" s="2">
        <v>1</v>
      </c>
      <c r="G64" s="2">
        <v>1</v>
      </c>
      <c r="H64" s="2">
        <v>2</v>
      </c>
      <c r="I64" s="2">
        <v>2</v>
      </c>
      <c r="J64" s="2">
        <v>2</v>
      </c>
      <c r="K64" s="2">
        <v>2</v>
      </c>
      <c r="L64" s="2">
        <v>3</v>
      </c>
      <c r="M64" s="2">
        <v>3</v>
      </c>
      <c r="N64" s="2">
        <v>4</v>
      </c>
      <c r="O64" s="2">
        <v>4</v>
      </c>
      <c r="P64" s="2">
        <v>1</v>
      </c>
      <c r="Q64">
        <f>VLOOKUP(A64,Grupos!A:B,2,0)</f>
        <v>31</v>
      </c>
    </row>
    <row r="65" spans="1:17" x14ac:dyDescent="0.3">
      <c r="A65" s="6" t="s">
        <v>33</v>
      </c>
      <c r="B65" s="1" t="s">
        <v>3</v>
      </c>
      <c r="C65" s="2">
        <v>0</v>
      </c>
      <c r="D65" s="2">
        <v>1</v>
      </c>
      <c r="E65" s="2">
        <v>1</v>
      </c>
      <c r="F65" s="2">
        <v>3</v>
      </c>
      <c r="G65" s="2">
        <v>3</v>
      </c>
      <c r="H65" s="2">
        <v>4</v>
      </c>
      <c r="I65" s="2">
        <v>4</v>
      </c>
      <c r="J65" s="2">
        <v>4</v>
      </c>
      <c r="K65" s="2">
        <v>4</v>
      </c>
      <c r="L65" s="2">
        <v>6</v>
      </c>
      <c r="M65" s="2">
        <v>9</v>
      </c>
      <c r="N65" s="2">
        <v>12</v>
      </c>
      <c r="O65" s="2">
        <v>15</v>
      </c>
      <c r="P65" s="2">
        <v>2</v>
      </c>
      <c r="Q65">
        <f>VLOOKUP(A65,Grupos!A:B,2,0)</f>
        <v>32</v>
      </c>
    </row>
    <row r="66" spans="1:17" x14ac:dyDescent="0.3">
      <c r="A66" s="6" t="s">
        <v>33</v>
      </c>
      <c r="B66" s="1" t="s">
        <v>4</v>
      </c>
      <c r="C66" s="2">
        <v>0</v>
      </c>
      <c r="D66" s="2">
        <v>1</v>
      </c>
      <c r="E66" s="2">
        <v>1</v>
      </c>
      <c r="F66" s="2">
        <v>3</v>
      </c>
      <c r="G66" s="2">
        <v>3</v>
      </c>
      <c r="H66" s="2">
        <v>3</v>
      </c>
      <c r="I66" s="2">
        <v>3</v>
      </c>
      <c r="J66" s="2">
        <v>3</v>
      </c>
      <c r="K66" s="2">
        <v>3</v>
      </c>
      <c r="L66" s="2">
        <v>4</v>
      </c>
      <c r="M66" s="2">
        <v>7</v>
      </c>
      <c r="N66" s="2">
        <v>9</v>
      </c>
      <c r="O66" s="2">
        <v>12</v>
      </c>
      <c r="P66" s="2">
        <v>2</v>
      </c>
      <c r="Q66">
        <f>VLOOKUP(A66,Grupos!A:B,2,0)</f>
        <v>32</v>
      </c>
    </row>
    <row r="67" spans="1:17" x14ac:dyDescent="0.3">
      <c r="A67" s="6" t="s">
        <v>34</v>
      </c>
      <c r="B67" s="1" t="s">
        <v>3</v>
      </c>
      <c r="C67" s="2">
        <v>0</v>
      </c>
      <c r="D67" s="2">
        <v>0</v>
      </c>
      <c r="E67" s="2">
        <v>0</v>
      </c>
      <c r="F67" s="2">
        <v>1</v>
      </c>
      <c r="G67" s="2">
        <v>1</v>
      </c>
      <c r="H67" s="2">
        <v>2</v>
      </c>
      <c r="I67" s="2">
        <v>2</v>
      </c>
      <c r="J67" s="2">
        <v>2</v>
      </c>
      <c r="K67" s="2">
        <v>2</v>
      </c>
      <c r="L67" s="2">
        <v>4</v>
      </c>
      <c r="M67" s="2">
        <v>5</v>
      </c>
      <c r="N67" s="2">
        <v>7</v>
      </c>
      <c r="O67" s="2">
        <v>7</v>
      </c>
      <c r="P67" s="2">
        <v>1</v>
      </c>
      <c r="Q67">
        <f>VLOOKUP(A67,Grupos!A:B,2,0)</f>
        <v>33</v>
      </c>
    </row>
    <row r="68" spans="1:17" x14ac:dyDescent="0.3">
      <c r="A68" s="6" t="s">
        <v>34</v>
      </c>
      <c r="B68" s="1" t="s">
        <v>4</v>
      </c>
      <c r="C68" s="2">
        <v>0</v>
      </c>
      <c r="D68" s="2">
        <v>0</v>
      </c>
      <c r="E68" s="2">
        <v>0</v>
      </c>
      <c r="F68" s="2">
        <v>1</v>
      </c>
      <c r="G68" s="2">
        <v>1</v>
      </c>
      <c r="H68" s="2">
        <v>1</v>
      </c>
      <c r="I68" s="2">
        <v>1</v>
      </c>
      <c r="J68" s="2">
        <v>2</v>
      </c>
      <c r="K68" s="2">
        <v>2</v>
      </c>
      <c r="L68" s="2">
        <v>4</v>
      </c>
      <c r="M68" s="2">
        <v>5</v>
      </c>
      <c r="N68" s="2">
        <v>7</v>
      </c>
      <c r="O68" s="2">
        <v>7</v>
      </c>
      <c r="P68" s="2">
        <v>1</v>
      </c>
      <c r="Q68">
        <f>VLOOKUP(A68,Grupos!A:B,2,0)</f>
        <v>33</v>
      </c>
    </row>
    <row r="69" spans="1:17" x14ac:dyDescent="0.3">
      <c r="A69" s="6" t="s">
        <v>35</v>
      </c>
      <c r="B69" s="1" t="s">
        <v>3</v>
      </c>
      <c r="C69" s="2">
        <v>0</v>
      </c>
      <c r="D69" s="2">
        <v>0</v>
      </c>
      <c r="E69" s="2">
        <v>0</v>
      </c>
      <c r="F69" s="2">
        <v>1</v>
      </c>
      <c r="G69" s="2">
        <v>1</v>
      </c>
      <c r="H69" s="2">
        <v>2</v>
      </c>
      <c r="I69" s="2">
        <v>2</v>
      </c>
      <c r="J69" s="2">
        <v>2</v>
      </c>
      <c r="K69" s="2">
        <v>3</v>
      </c>
      <c r="L69" s="2">
        <v>4</v>
      </c>
      <c r="M69" s="2">
        <v>5</v>
      </c>
      <c r="N69" s="2">
        <v>7</v>
      </c>
      <c r="O69" s="2">
        <v>9</v>
      </c>
      <c r="P69" s="2">
        <v>1</v>
      </c>
      <c r="Q69">
        <f>VLOOKUP(A69,Grupos!A:B,2,0)</f>
        <v>34</v>
      </c>
    </row>
    <row r="70" spans="1:17" x14ac:dyDescent="0.3">
      <c r="A70" s="6" t="s">
        <v>35</v>
      </c>
      <c r="B70" s="1" t="s">
        <v>4</v>
      </c>
      <c r="C70" s="2">
        <v>0</v>
      </c>
      <c r="D70" s="2">
        <v>0</v>
      </c>
      <c r="E70" s="2">
        <v>0</v>
      </c>
      <c r="F70" s="2">
        <v>1</v>
      </c>
      <c r="G70" s="2">
        <v>1</v>
      </c>
      <c r="H70" s="2">
        <v>1</v>
      </c>
      <c r="I70" s="2">
        <v>1</v>
      </c>
      <c r="J70" s="2">
        <v>2</v>
      </c>
      <c r="K70" s="2">
        <v>2</v>
      </c>
      <c r="L70" s="2">
        <v>4</v>
      </c>
      <c r="M70" s="2">
        <v>5</v>
      </c>
      <c r="N70" s="2">
        <v>7</v>
      </c>
      <c r="O70" s="2">
        <v>9</v>
      </c>
      <c r="P70" s="2">
        <v>1</v>
      </c>
      <c r="Q70">
        <f>VLOOKUP(A70,Grupos!A:B,2,0)</f>
        <v>34</v>
      </c>
    </row>
    <row r="71" spans="1:17" x14ac:dyDescent="0.3">
      <c r="A71" s="6" t="s">
        <v>36</v>
      </c>
      <c r="B71" s="1" t="s">
        <v>3</v>
      </c>
      <c r="C71" s="2">
        <v>0</v>
      </c>
      <c r="D71" s="2">
        <v>0</v>
      </c>
      <c r="E71" s="2">
        <v>0</v>
      </c>
      <c r="F71" s="2">
        <v>1</v>
      </c>
      <c r="G71" s="2">
        <v>1</v>
      </c>
      <c r="H71" s="2">
        <v>2</v>
      </c>
      <c r="I71" s="2">
        <v>2</v>
      </c>
      <c r="J71" s="2">
        <v>2</v>
      </c>
      <c r="K71" s="2">
        <v>2</v>
      </c>
      <c r="L71" s="2">
        <v>3</v>
      </c>
      <c r="M71" s="2">
        <v>4</v>
      </c>
      <c r="N71" s="2">
        <v>5</v>
      </c>
      <c r="O71" s="2">
        <v>6</v>
      </c>
      <c r="P71" s="2">
        <v>1</v>
      </c>
      <c r="Q71">
        <f>VLOOKUP(A71,Grupos!A:B,2,0)</f>
        <v>35</v>
      </c>
    </row>
    <row r="72" spans="1:17" x14ac:dyDescent="0.3">
      <c r="A72" s="6" t="s">
        <v>36</v>
      </c>
      <c r="B72" s="1" t="s">
        <v>4</v>
      </c>
      <c r="C72" s="2">
        <v>0</v>
      </c>
      <c r="D72" s="2">
        <v>0</v>
      </c>
      <c r="E72" s="2">
        <v>0</v>
      </c>
      <c r="F72" s="2">
        <v>1</v>
      </c>
      <c r="G72" s="2">
        <v>1</v>
      </c>
      <c r="H72" s="2">
        <v>2</v>
      </c>
      <c r="I72" s="2">
        <v>2</v>
      </c>
      <c r="J72" s="2">
        <v>2</v>
      </c>
      <c r="K72" s="2">
        <v>2</v>
      </c>
      <c r="L72" s="2">
        <v>3</v>
      </c>
      <c r="M72" s="2">
        <v>3</v>
      </c>
      <c r="N72" s="2">
        <v>4</v>
      </c>
      <c r="O72" s="2">
        <v>5</v>
      </c>
      <c r="P72" s="2">
        <v>1</v>
      </c>
      <c r="Q72">
        <f>VLOOKUP(A72,Grupos!A:B,2,0)</f>
        <v>35</v>
      </c>
    </row>
    <row r="73" spans="1:17" x14ac:dyDescent="0.3">
      <c r="A73" s="6" t="s">
        <v>37</v>
      </c>
      <c r="B73" s="1" t="s">
        <v>3</v>
      </c>
      <c r="C73" s="2">
        <v>0</v>
      </c>
      <c r="D73" s="2">
        <v>0</v>
      </c>
      <c r="E73" s="2">
        <v>0</v>
      </c>
      <c r="F73" s="2">
        <v>0</v>
      </c>
      <c r="G73" s="2">
        <v>0</v>
      </c>
      <c r="H73" s="2">
        <v>0</v>
      </c>
      <c r="I73" s="2">
        <v>0</v>
      </c>
      <c r="J73" s="2">
        <v>0</v>
      </c>
      <c r="K73" s="2">
        <v>1</v>
      </c>
      <c r="L73" s="2">
        <v>2</v>
      </c>
      <c r="M73" s="2">
        <v>3</v>
      </c>
      <c r="N73" s="2">
        <v>4</v>
      </c>
      <c r="O73" s="2">
        <v>5</v>
      </c>
      <c r="P73" s="2">
        <v>1</v>
      </c>
      <c r="Q73">
        <f>VLOOKUP(A73,Grupos!A:B,2,0)</f>
        <v>36</v>
      </c>
    </row>
    <row r="74" spans="1:17" x14ac:dyDescent="0.3">
      <c r="A74" s="6" t="s">
        <v>37</v>
      </c>
      <c r="B74" s="1" t="s">
        <v>4</v>
      </c>
      <c r="C74" s="2">
        <v>0</v>
      </c>
      <c r="D74" s="2">
        <v>0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1</v>
      </c>
      <c r="L74" s="2">
        <v>2</v>
      </c>
      <c r="M74" s="2">
        <v>3</v>
      </c>
      <c r="N74" s="2">
        <v>3</v>
      </c>
      <c r="O74" s="2">
        <v>4</v>
      </c>
      <c r="P74" s="2">
        <v>1</v>
      </c>
      <c r="Q74">
        <f>VLOOKUP(A74,Grupos!A:B,2,0)</f>
        <v>36</v>
      </c>
    </row>
    <row r="75" spans="1:17" x14ac:dyDescent="0.3">
      <c r="A75" s="6" t="s">
        <v>38</v>
      </c>
      <c r="B75" s="1" t="s">
        <v>3</v>
      </c>
      <c r="C75" s="2">
        <v>0</v>
      </c>
      <c r="D75" s="2">
        <v>0</v>
      </c>
      <c r="E75" s="2">
        <v>0</v>
      </c>
      <c r="F75" s="2">
        <v>0</v>
      </c>
      <c r="G75" s="2">
        <v>0</v>
      </c>
      <c r="H75" s="2">
        <v>1</v>
      </c>
      <c r="I75" s="2">
        <v>1</v>
      </c>
      <c r="J75" s="2">
        <v>2</v>
      </c>
      <c r="K75" s="2">
        <v>3</v>
      </c>
      <c r="L75" s="2">
        <v>4</v>
      </c>
      <c r="M75" s="2">
        <v>5</v>
      </c>
      <c r="N75" s="2">
        <v>6</v>
      </c>
      <c r="O75" s="2">
        <v>6</v>
      </c>
      <c r="P75" s="2">
        <v>1</v>
      </c>
      <c r="Q75">
        <f>VLOOKUP(A75,Grupos!A:B,2,0)</f>
        <v>37</v>
      </c>
    </row>
    <row r="76" spans="1:17" x14ac:dyDescent="0.3">
      <c r="A76" s="6" t="s">
        <v>38</v>
      </c>
      <c r="B76" s="1" t="s">
        <v>4</v>
      </c>
      <c r="C76" s="2">
        <v>0</v>
      </c>
      <c r="D76" s="2">
        <v>0</v>
      </c>
      <c r="E76" s="2">
        <v>0</v>
      </c>
      <c r="F76" s="2">
        <v>0</v>
      </c>
      <c r="G76" s="2">
        <v>0</v>
      </c>
      <c r="H76" s="2">
        <v>1</v>
      </c>
      <c r="I76" s="2">
        <v>1</v>
      </c>
      <c r="J76" s="2">
        <v>2</v>
      </c>
      <c r="K76" s="2">
        <v>3</v>
      </c>
      <c r="L76" s="2">
        <v>3</v>
      </c>
      <c r="M76" s="2">
        <v>4</v>
      </c>
      <c r="N76" s="2">
        <v>5</v>
      </c>
      <c r="O76" s="2">
        <v>5</v>
      </c>
      <c r="P76" s="2">
        <v>1</v>
      </c>
      <c r="Q76">
        <f>VLOOKUP(A76,Grupos!A:B,2,0)</f>
        <v>37</v>
      </c>
    </row>
    <row r="77" spans="1:17" x14ac:dyDescent="0.3">
      <c r="A77" s="6" t="s">
        <v>39</v>
      </c>
      <c r="B77" s="1" t="s">
        <v>3</v>
      </c>
      <c r="C77" s="2">
        <v>0</v>
      </c>
      <c r="D77" s="2">
        <v>0</v>
      </c>
      <c r="E77" s="2">
        <v>0</v>
      </c>
      <c r="F77" s="2">
        <v>0</v>
      </c>
      <c r="G77" s="2">
        <v>0</v>
      </c>
      <c r="H77" s="2">
        <v>1</v>
      </c>
      <c r="I77" s="2">
        <v>1</v>
      </c>
      <c r="J77" s="2">
        <v>2</v>
      </c>
      <c r="K77" s="2">
        <v>3</v>
      </c>
      <c r="L77" s="2">
        <v>4</v>
      </c>
      <c r="M77" s="2">
        <v>5</v>
      </c>
      <c r="N77" s="2">
        <v>6</v>
      </c>
      <c r="O77" s="2">
        <v>6</v>
      </c>
      <c r="P77" s="2">
        <v>1</v>
      </c>
      <c r="Q77">
        <f>VLOOKUP(A77,Grupos!A:B,2,0)</f>
        <v>38</v>
      </c>
    </row>
    <row r="78" spans="1:17" x14ac:dyDescent="0.3">
      <c r="A78" s="6" t="s">
        <v>39</v>
      </c>
      <c r="B78" s="1" t="s">
        <v>4</v>
      </c>
      <c r="C78" s="2">
        <v>0</v>
      </c>
      <c r="D78" s="2">
        <v>0</v>
      </c>
      <c r="E78" s="2">
        <v>0</v>
      </c>
      <c r="F78" s="2">
        <v>0</v>
      </c>
      <c r="G78" s="2">
        <v>0</v>
      </c>
      <c r="H78" s="2">
        <v>1</v>
      </c>
      <c r="I78" s="2">
        <v>1</v>
      </c>
      <c r="J78" s="2">
        <v>2</v>
      </c>
      <c r="K78" s="2">
        <v>3</v>
      </c>
      <c r="L78" s="2">
        <v>4</v>
      </c>
      <c r="M78" s="2">
        <v>5</v>
      </c>
      <c r="N78" s="2">
        <v>5</v>
      </c>
      <c r="O78" s="2">
        <v>5</v>
      </c>
      <c r="P78" s="2">
        <v>1</v>
      </c>
      <c r="Q78">
        <f>VLOOKUP(A78,Grupos!A:B,2,0)</f>
        <v>38</v>
      </c>
    </row>
    <row r="79" spans="1:17" x14ac:dyDescent="0.3">
      <c r="A79" s="6" t="s">
        <v>40</v>
      </c>
      <c r="B79" s="1" t="s">
        <v>3</v>
      </c>
      <c r="C79" s="2">
        <v>0</v>
      </c>
      <c r="D79" s="2">
        <v>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1</v>
      </c>
      <c r="L79" s="2">
        <v>2</v>
      </c>
      <c r="M79" s="2">
        <v>3</v>
      </c>
      <c r="N79" s="2">
        <v>4</v>
      </c>
      <c r="O79" s="2">
        <v>5</v>
      </c>
      <c r="P79" s="2">
        <v>1</v>
      </c>
      <c r="Q79">
        <f>VLOOKUP(A79,Grupos!A:B,2,0)</f>
        <v>39</v>
      </c>
    </row>
    <row r="80" spans="1:17" x14ac:dyDescent="0.3">
      <c r="A80" s="6" t="s">
        <v>40</v>
      </c>
      <c r="B80" s="1" t="s">
        <v>4</v>
      </c>
      <c r="C80" s="2">
        <v>0</v>
      </c>
      <c r="D80" s="2">
        <v>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1</v>
      </c>
      <c r="L80" s="2">
        <v>2</v>
      </c>
      <c r="M80" s="2">
        <v>3</v>
      </c>
      <c r="N80" s="2">
        <v>3</v>
      </c>
      <c r="O80" s="2">
        <v>4</v>
      </c>
      <c r="P80" s="2">
        <v>1</v>
      </c>
      <c r="Q80">
        <f>VLOOKUP(A80,Grupos!A:B,2,0)</f>
        <v>39</v>
      </c>
    </row>
    <row r="81" spans="1:17" x14ac:dyDescent="0.3">
      <c r="A81" s="6" t="s">
        <v>41</v>
      </c>
      <c r="B81" s="1" t="s">
        <v>3</v>
      </c>
      <c r="C81" s="2">
        <v>0</v>
      </c>
      <c r="D81" s="2">
        <v>1</v>
      </c>
      <c r="E81" s="2">
        <v>1</v>
      </c>
      <c r="F81" s="2">
        <v>1</v>
      </c>
      <c r="G81" s="2">
        <v>2</v>
      </c>
      <c r="H81" s="2">
        <v>4</v>
      </c>
      <c r="I81" s="2">
        <v>4</v>
      </c>
      <c r="J81" s="2">
        <v>4</v>
      </c>
      <c r="K81" s="2">
        <v>5</v>
      </c>
      <c r="L81" s="2">
        <v>7</v>
      </c>
      <c r="M81" s="2">
        <v>8</v>
      </c>
      <c r="N81" s="2">
        <v>9</v>
      </c>
      <c r="O81" s="2">
        <v>10</v>
      </c>
      <c r="P81" s="2">
        <v>2</v>
      </c>
      <c r="Q81">
        <f>VLOOKUP(A81,Grupos!A:B,2,0)</f>
        <v>40</v>
      </c>
    </row>
    <row r="82" spans="1:17" x14ac:dyDescent="0.3">
      <c r="A82" s="6" t="s">
        <v>41</v>
      </c>
      <c r="B82" s="1" t="s">
        <v>4</v>
      </c>
      <c r="C82" s="2">
        <v>0</v>
      </c>
      <c r="D82" s="2">
        <v>1</v>
      </c>
      <c r="E82" s="2">
        <v>1</v>
      </c>
      <c r="F82" s="2">
        <v>1</v>
      </c>
      <c r="G82" s="2">
        <v>2</v>
      </c>
      <c r="H82" s="2">
        <v>3</v>
      </c>
      <c r="I82" s="2">
        <v>3</v>
      </c>
      <c r="J82" s="2">
        <v>4</v>
      </c>
      <c r="K82" s="2">
        <v>4</v>
      </c>
      <c r="L82" s="2">
        <v>6</v>
      </c>
      <c r="M82" s="2">
        <v>7</v>
      </c>
      <c r="N82" s="2">
        <v>8</v>
      </c>
      <c r="O82" s="2">
        <v>9</v>
      </c>
      <c r="P82" s="2">
        <v>1</v>
      </c>
      <c r="Q82">
        <f>VLOOKUP(A82,Grupos!A:B,2,0)</f>
        <v>40</v>
      </c>
    </row>
    <row r="83" spans="1:17" x14ac:dyDescent="0.3">
      <c r="A83" s="6" t="s">
        <v>42</v>
      </c>
      <c r="B83" s="1" t="s">
        <v>3</v>
      </c>
      <c r="C83" s="2">
        <v>0</v>
      </c>
      <c r="D83" s="2">
        <v>0</v>
      </c>
      <c r="E83" s="2">
        <v>0</v>
      </c>
      <c r="F83" s="2">
        <v>1</v>
      </c>
      <c r="G83" s="2">
        <v>1</v>
      </c>
      <c r="H83" s="2">
        <v>2</v>
      </c>
      <c r="I83" s="2">
        <v>2</v>
      </c>
      <c r="J83" s="2">
        <v>2</v>
      </c>
      <c r="K83" s="2">
        <v>3</v>
      </c>
      <c r="L83" s="2">
        <v>3</v>
      </c>
      <c r="M83" s="2">
        <v>4</v>
      </c>
      <c r="N83" s="2">
        <v>5</v>
      </c>
      <c r="O83" s="2">
        <v>6</v>
      </c>
      <c r="P83" s="2">
        <v>1</v>
      </c>
      <c r="Q83">
        <f>VLOOKUP(A83,Grupos!A:B,2,0)</f>
        <v>41</v>
      </c>
    </row>
    <row r="84" spans="1:17" x14ac:dyDescent="0.3">
      <c r="A84" s="6" t="s">
        <v>42</v>
      </c>
      <c r="B84" s="1" t="s">
        <v>4</v>
      </c>
      <c r="C84" s="2">
        <v>0</v>
      </c>
      <c r="D84" s="2">
        <v>0</v>
      </c>
      <c r="E84" s="2">
        <v>0</v>
      </c>
      <c r="F84" s="2">
        <v>1</v>
      </c>
      <c r="G84" s="2">
        <v>1</v>
      </c>
      <c r="H84" s="2">
        <v>2</v>
      </c>
      <c r="I84" s="2">
        <v>2</v>
      </c>
      <c r="J84" s="2">
        <v>2</v>
      </c>
      <c r="K84" s="2">
        <v>3</v>
      </c>
      <c r="L84" s="2">
        <v>3</v>
      </c>
      <c r="M84" s="2">
        <v>3</v>
      </c>
      <c r="N84" s="2">
        <v>4</v>
      </c>
      <c r="O84" s="2">
        <v>5</v>
      </c>
      <c r="P84" s="2">
        <v>1</v>
      </c>
      <c r="Q84">
        <f>VLOOKUP(A84,Grupos!A:B,2,0)</f>
        <v>41</v>
      </c>
    </row>
    <row r="85" spans="1:17" x14ac:dyDescent="0.3">
      <c r="A85" s="6" t="s">
        <v>43</v>
      </c>
      <c r="B85" s="1" t="s">
        <v>3</v>
      </c>
      <c r="C85" s="2">
        <v>0</v>
      </c>
      <c r="D85" s="2">
        <v>0</v>
      </c>
      <c r="E85" s="2">
        <v>0</v>
      </c>
      <c r="F85" s="2">
        <v>1</v>
      </c>
      <c r="G85" s="2">
        <v>1</v>
      </c>
      <c r="H85" s="2">
        <v>2</v>
      </c>
      <c r="I85" s="2">
        <v>2</v>
      </c>
      <c r="J85" s="2">
        <v>2</v>
      </c>
      <c r="K85" s="2">
        <v>3</v>
      </c>
      <c r="L85" s="2">
        <v>3</v>
      </c>
      <c r="M85" s="2">
        <v>4</v>
      </c>
      <c r="N85" s="2">
        <v>5</v>
      </c>
      <c r="O85" s="2">
        <v>6</v>
      </c>
      <c r="P85" s="2">
        <v>1</v>
      </c>
      <c r="Q85">
        <f>VLOOKUP(A85,Grupos!A:B,2,0)</f>
        <v>42</v>
      </c>
    </row>
    <row r="86" spans="1:17" x14ac:dyDescent="0.3">
      <c r="A86" s="6" t="s">
        <v>43</v>
      </c>
      <c r="B86" s="1" t="s">
        <v>4</v>
      </c>
      <c r="C86" s="2">
        <v>0</v>
      </c>
      <c r="D86" s="2">
        <v>0</v>
      </c>
      <c r="E86" s="2">
        <v>0</v>
      </c>
      <c r="F86" s="2">
        <v>1</v>
      </c>
      <c r="G86" s="2">
        <v>1</v>
      </c>
      <c r="H86" s="2">
        <v>2</v>
      </c>
      <c r="I86" s="2">
        <v>2</v>
      </c>
      <c r="J86" s="2">
        <v>2</v>
      </c>
      <c r="K86" s="2">
        <v>3</v>
      </c>
      <c r="L86" s="2">
        <v>3</v>
      </c>
      <c r="M86" s="2">
        <v>3</v>
      </c>
      <c r="N86" s="2">
        <v>4</v>
      </c>
      <c r="O86" s="2">
        <v>5</v>
      </c>
      <c r="P86" s="2">
        <v>1</v>
      </c>
      <c r="Q86">
        <f>VLOOKUP(A86,Grupos!A:B,2,0)</f>
        <v>42</v>
      </c>
    </row>
    <row r="87" spans="1:17" x14ac:dyDescent="0.3">
      <c r="A87" s="6" t="s">
        <v>44</v>
      </c>
      <c r="B87" s="1" t="s">
        <v>3</v>
      </c>
      <c r="C87" s="2">
        <v>0</v>
      </c>
      <c r="D87" s="2">
        <v>0</v>
      </c>
      <c r="E87" s="2">
        <v>0</v>
      </c>
      <c r="F87" s="2">
        <v>0</v>
      </c>
      <c r="G87" s="2">
        <v>0</v>
      </c>
      <c r="H87" s="2">
        <v>1</v>
      </c>
      <c r="I87" s="2">
        <v>1</v>
      </c>
      <c r="J87" s="2">
        <v>1</v>
      </c>
      <c r="K87" s="2">
        <v>1</v>
      </c>
      <c r="L87" s="2">
        <v>2</v>
      </c>
      <c r="M87" s="2">
        <v>3</v>
      </c>
      <c r="N87" s="2">
        <v>4</v>
      </c>
      <c r="O87" s="2">
        <v>5</v>
      </c>
      <c r="P87" s="2">
        <v>1</v>
      </c>
      <c r="Q87">
        <f>VLOOKUP(A87,Grupos!A:B,2,0)</f>
        <v>43</v>
      </c>
    </row>
    <row r="88" spans="1:17" x14ac:dyDescent="0.3">
      <c r="A88" s="6" t="s">
        <v>44</v>
      </c>
      <c r="B88" s="1" t="s">
        <v>4</v>
      </c>
      <c r="C88" s="2">
        <v>0</v>
      </c>
      <c r="D88" s="2">
        <v>0</v>
      </c>
      <c r="E88" s="2">
        <v>0</v>
      </c>
      <c r="F88" s="2">
        <v>0</v>
      </c>
      <c r="G88" s="2">
        <v>0</v>
      </c>
      <c r="H88" s="2">
        <v>1</v>
      </c>
      <c r="I88" s="2">
        <v>1</v>
      </c>
      <c r="J88" s="2">
        <v>1</v>
      </c>
      <c r="K88" s="2">
        <v>1</v>
      </c>
      <c r="L88" s="2">
        <v>2</v>
      </c>
      <c r="M88" s="2">
        <v>3</v>
      </c>
      <c r="N88" s="2">
        <v>3</v>
      </c>
      <c r="O88" s="2">
        <v>4</v>
      </c>
      <c r="P88" s="2">
        <v>1</v>
      </c>
      <c r="Q88">
        <f>VLOOKUP(A88,Grupos!A:B,2,0)</f>
        <v>43</v>
      </c>
    </row>
    <row r="89" spans="1:17" x14ac:dyDescent="0.3">
      <c r="A89" s="6" t="s">
        <v>45</v>
      </c>
      <c r="B89" s="1" t="s">
        <v>3</v>
      </c>
      <c r="C89" s="2">
        <v>0</v>
      </c>
      <c r="D89" s="2">
        <v>1</v>
      </c>
      <c r="E89" s="2">
        <v>1</v>
      </c>
      <c r="F89" s="2">
        <v>2</v>
      </c>
      <c r="G89" s="2">
        <v>2</v>
      </c>
      <c r="H89" s="2">
        <v>4</v>
      </c>
      <c r="I89" s="2">
        <v>4</v>
      </c>
      <c r="J89" s="2">
        <v>4</v>
      </c>
      <c r="K89" s="2">
        <v>4</v>
      </c>
      <c r="L89" s="2">
        <v>6</v>
      </c>
      <c r="M89" s="2">
        <v>8</v>
      </c>
      <c r="N89" s="2">
        <v>10</v>
      </c>
      <c r="O89" s="2">
        <v>12</v>
      </c>
      <c r="P89" s="2">
        <v>2</v>
      </c>
      <c r="Q89">
        <f>VLOOKUP(A89,Grupos!A:B,2,0)</f>
        <v>44</v>
      </c>
    </row>
    <row r="90" spans="1:17" x14ac:dyDescent="0.3">
      <c r="A90" s="6" t="s">
        <v>45</v>
      </c>
      <c r="B90" s="1" t="s">
        <v>4</v>
      </c>
      <c r="C90" s="2">
        <v>0</v>
      </c>
      <c r="D90" s="2">
        <v>1</v>
      </c>
      <c r="E90" s="2">
        <v>1</v>
      </c>
      <c r="F90" s="2">
        <v>2</v>
      </c>
      <c r="G90" s="2">
        <v>2</v>
      </c>
      <c r="H90" s="2">
        <v>3</v>
      </c>
      <c r="I90" s="2">
        <v>3</v>
      </c>
      <c r="J90" s="2">
        <v>3</v>
      </c>
      <c r="K90" s="2">
        <v>4</v>
      </c>
      <c r="L90" s="2">
        <v>5</v>
      </c>
      <c r="M90" s="2">
        <v>7</v>
      </c>
      <c r="N90" s="2">
        <v>8</v>
      </c>
      <c r="O90" s="2">
        <v>9</v>
      </c>
      <c r="P90" s="2">
        <v>2</v>
      </c>
      <c r="Q90">
        <f>VLOOKUP(A90,Grupos!A:B,2,0)</f>
        <v>44</v>
      </c>
    </row>
    <row r="91" spans="1:17" x14ac:dyDescent="0.3">
      <c r="A91" s="6" t="s">
        <v>46</v>
      </c>
      <c r="B91" s="1" t="s">
        <v>3</v>
      </c>
      <c r="C91" s="2">
        <v>0</v>
      </c>
      <c r="D91" s="2">
        <v>0</v>
      </c>
      <c r="E91" s="2">
        <v>0</v>
      </c>
      <c r="F91" s="2">
        <v>1</v>
      </c>
      <c r="G91" s="2">
        <v>1</v>
      </c>
      <c r="H91" s="2">
        <v>2</v>
      </c>
      <c r="I91" s="2">
        <v>2</v>
      </c>
      <c r="J91" s="2">
        <v>2</v>
      </c>
      <c r="K91" s="2">
        <v>2</v>
      </c>
      <c r="L91" s="2">
        <v>3</v>
      </c>
      <c r="M91" s="2">
        <v>4</v>
      </c>
      <c r="N91" s="2">
        <v>5</v>
      </c>
      <c r="O91" s="2">
        <v>6</v>
      </c>
      <c r="P91" s="2">
        <v>1</v>
      </c>
      <c r="Q91">
        <f>VLOOKUP(A91,Grupos!A:B,2,0)</f>
        <v>45</v>
      </c>
    </row>
    <row r="92" spans="1:17" x14ac:dyDescent="0.3">
      <c r="A92" s="6" t="s">
        <v>46</v>
      </c>
      <c r="B92" s="1" t="s">
        <v>4</v>
      </c>
      <c r="C92" s="2">
        <v>0</v>
      </c>
      <c r="D92" s="2">
        <v>0</v>
      </c>
      <c r="E92" s="2">
        <v>0</v>
      </c>
      <c r="F92" s="2">
        <v>1</v>
      </c>
      <c r="G92" s="2">
        <v>1</v>
      </c>
      <c r="H92" s="2">
        <v>2</v>
      </c>
      <c r="I92" s="2">
        <v>2</v>
      </c>
      <c r="J92" s="2">
        <v>2</v>
      </c>
      <c r="K92" s="2">
        <v>2</v>
      </c>
      <c r="L92" s="2">
        <v>3</v>
      </c>
      <c r="M92" s="2">
        <v>3</v>
      </c>
      <c r="N92" s="2">
        <v>4</v>
      </c>
      <c r="O92" s="2">
        <v>5</v>
      </c>
      <c r="P92" s="2">
        <v>1</v>
      </c>
      <c r="Q92">
        <f>VLOOKUP(A92,Grupos!A:B,2,0)</f>
        <v>45</v>
      </c>
    </row>
  </sheetData>
  <sortState ref="A3:Q92">
    <sortCondition ref="Q3:Q92"/>
    <sortCondition ref="B3:B92"/>
  </sortState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A366"/>
  <sheetViews>
    <sheetView topLeftCell="A324" workbookViewId="0">
      <selection activeCell="I345" sqref="I345"/>
    </sheetView>
  </sheetViews>
  <sheetFormatPr defaultRowHeight="14.4" x14ac:dyDescent="0.3"/>
  <sheetData>
    <row r="1" spans="1:1" x14ac:dyDescent="0.3">
      <c r="A1" t="s">
        <v>53</v>
      </c>
    </row>
    <row r="2" spans="1:1" x14ac:dyDescent="0.3">
      <c r="A2" t="s">
        <v>47</v>
      </c>
    </row>
    <row r="3" spans="1:1" x14ac:dyDescent="0.3">
      <c r="A3" t="s">
        <v>48</v>
      </c>
    </row>
    <row r="4" spans="1:1" x14ac:dyDescent="0.3">
      <c r="A4" t="s">
        <v>49</v>
      </c>
    </row>
    <row r="5" spans="1:1" x14ac:dyDescent="0.3">
      <c r="A5" t="s">
        <v>50</v>
      </c>
    </row>
    <row r="6" spans="1:1" x14ac:dyDescent="0.3">
      <c r="A6" t="s">
        <v>51</v>
      </c>
    </row>
    <row r="7" spans="1:1" x14ac:dyDescent="0.3">
      <c r="A7" t="s">
        <v>52</v>
      </c>
    </row>
    <row r="8" spans="1:1" x14ac:dyDescent="0.3">
      <c r="A8" t="s">
        <v>54</v>
      </c>
    </row>
    <row r="9" spans="1:1" x14ac:dyDescent="0.3">
      <c r="A9" t="s">
        <v>57</v>
      </c>
    </row>
    <row r="10" spans="1:1" x14ac:dyDescent="0.3">
      <c r="A10" t="s">
        <v>58</v>
      </c>
    </row>
    <row r="11" spans="1:1" x14ac:dyDescent="0.3">
      <c r="A11" t="s">
        <v>59</v>
      </c>
    </row>
    <row r="12" spans="1:1" x14ac:dyDescent="0.3">
      <c r="A12" t="s">
        <v>60</v>
      </c>
    </row>
    <row r="13" spans="1:1" x14ac:dyDescent="0.3">
      <c r="A13" t="s">
        <v>61</v>
      </c>
    </row>
    <row r="14" spans="1:1" x14ac:dyDescent="0.3">
      <c r="A14" t="s">
        <v>62</v>
      </c>
    </row>
    <row r="15" spans="1:1" x14ac:dyDescent="0.3">
      <c r="A15" t="s">
        <v>63</v>
      </c>
    </row>
    <row r="16" spans="1:1" x14ac:dyDescent="0.3">
      <c r="A16" t="s">
        <v>64</v>
      </c>
    </row>
    <row r="17" spans="1:1" x14ac:dyDescent="0.3">
      <c r="A17" t="s">
        <v>65</v>
      </c>
    </row>
    <row r="18" spans="1:1" x14ac:dyDescent="0.3">
      <c r="A18" t="s">
        <v>66</v>
      </c>
    </row>
    <row r="19" spans="1:1" x14ac:dyDescent="0.3">
      <c r="A19" t="s">
        <v>67</v>
      </c>
    </row>
    <row r="20" spans="1:1" x14ac:dyDescent="0.3">
      <c r="A20" t="s">
        <v>68</v>
      </c>
    </row>
    <row r="21" spans="1:1" x14ac:dyDescent="0.3">
      <c r="A21" t="s">
        <v>69</v>
      </c>
    </row>
    <row r="22" spans="1:1" x14ac:dyDescent="0.3">
      <c r="A22" t="s">
        <v>70</v>
      </c>
    </row>
    <row r="23" spans="1:1" x14ac:dyDescent="0.3">
      <c r="A23" t="s">
        <v>71</v>
      </c>
    </row>
    <row r="24" spans="1:1" x14ac:dyDescent="0.3">
      <c r="A24" t="s">
        <v>72</v>
      </c>
    </row>
    <row r="25" spans="1:1" x14ac:dyDescent="0.3">
      <c r="A25" t="s">
        <v>73</v>
      </c>
    </row>
    <row r="26" spans="1:1" x14ac:dyDescent="0.3">
      <c r="A26" t="s">
        <v>74</v>
      </c>
    </row>
    <row r="27" spans="1:1" x14ac:dyDescent="0.3">
      <c r="A27" t="s">
        <v>75</v>
      </c>
    </row>
    <row r="28" spans="1:1" x14ac:dyDescent="0.3">
      <c r="A28" t="s">
        <v>76</v>
      </c>
    </row>
    <row r="29" spans="1:1" x14ac:dyDescent="0.3">
      <c r="A29" t="s">
        <v>77</v>
      </c>
    </row>
    <row r="30" spans="1:1" x14ac:dyDescent="0.3">
      <c r="A30" t="s">
        <v>78</v>
      </c>
    </row>
    <row r="31" spans="1:1" x14ac:dyDescent="0.3">
      <c r="A31" t="s">
        <v>79</v>
      </c>
    </row>
    <row r="32" spans="1:1" x14ac:dyDescent="0.3">
      <c r="A32" t="s">
        <v>80</v>
      </c>
    </row>
    <row r="33" spans="1:1" x14ac:dyDescent="0.3">
      <c r="A33" t="s">
        <v>81</v>
      </c>
    </row>
    <row r="34" spans="1:1" x14ac:dyDescent="0.3">
      <c r="A34" t="s">
        <v>82</v>
      </c>
    </row>
    <row r="35" spans="1:1" x14ac:dyDescent="0.3">
      <c r="A35" t="s">
        <v>83</v>
      </c>
    </row>
    <row r="36" spans="1:1" x14ac:dyDescent="0.3">
      <c r="A36" t="s">
        <v>84</v>
      </c>
    </row>
    <row r="37" spans="1:1" x14ac:dyDescent="0.3">
      <c r="A37" t="s">
        <v>85</v>
      </c>
    </row>
    <row r="38" spans="1:1" x14ac:dyDescent="0.3">
      <c r="A38" t="s">
        <v>86</v>
      </c>
    </row>
    <row r="39" spans="1:1" x14ac:dyDescent="0.3">
      <c r="A39" t="s">
        <v>87</v>
      </c>
    </row>
    <row r="40" spans="1:1" x14ac:dyDescent="0.3">
      <c r="A40" t="s">
        <v>88</v>
      </c>
    </row>
    <row r="41" spans="1:1" x14ac:dyDescent="0.3">
      <c r="A41" t="s">
        <v>89</v>
      </c>
    </row>
    <row r="42" spans="1:1" x14ac:dyDescent="0.3">
      <c r="A42" t="s">
        <v>90</v>
      </c>
    </row>
    <row r="43" spans="1:1" x14ac:dyDescent="0.3">
      <c r="A43" t="s">
        <v>91</v>
      </c>
    </row>
    <row r="44" spans="1:1" x14ac:dyDescent="0.3">
      <c r="A44" t="s">
        <v>92</v>
      </c>
    </row>
    <row r="45" spans="1:1" x14ac:dyDescent="0.3">
      <c r="A45" t="s">
        <v>93</v>
      </c>
    </row>
    <row r="46" spans="1:1" x14ac:dyDescent="0.3">
      <c r="A46" t="s">
        <v>94</v>
      </c>
    </row>
    <row r="47" spans="1:1" x14ac:dyDescent="0.3">
      <c r="A47" t="s">
        <v>95</v>
      </c>
    </row>
    <row r="48" spans="1:1" x14ac:dyDescent="0.3">
      <c r="A48" t="s">
        <v>96</v>
      </c>
    </row>
    <row r="49" spans="1:1" x14ac:dyDescent="0.3">
      <c r="A49" t="s">
        <v>97</v>
      </c>
    </row>
    <row r="50" spans="1:1" x14ac:dyDescent="0.3">
      <c r="A50" t="s">
        <v>98</v>
      </c>
    </row>
    <row r="51" spans="1:1" x14ac:dyDescent="0.3">
      <c r="A51" t="s">
        <v>99</v>
      </c>
    </row>
    <row r="52" spans="1:1" x14ac:dyDescent="0.3">
      <c r="A52" t="s">
        <v>100</v>
      </c>
    </row>
    <row r="53" spans="1:1" x14ac:dyDescent="0.3">
      <c r="A53" t="s">
        <v>101</v>
      </c>
    </row>
    <row r="54" spans="1:1" x14ac:dyDescent="0.3">
      <c r="A54" t="s">
        <v>102</v>
      </c>
    </row>
    <row r="55" spans="1:1" x14ac:dyDescent="0.3">
      <c r="A55" t="s">
        <v>103</v>
      </c>
    </row>
    <row r="56" spans="1:1" x14ac:dyDescent="0.3">
      <c r="A56" t="s">
        <v>104</v>
      </c>
    </row>
    <row r="57" spans="1:1" x14ac:dyDescent="0.3">
      <c r="A57" t="s">
        <v>105</v>
      </c>
    </row>
    <row r="58" spans="1:1" x14ac:dyDescent="0.3">
      <c r="A58" t="s">
        <v>106</v>
      </c>
    </row>
    <row r="59" spans="1:1" x14ac:dyDescent="0.3">
      <c r="A59" t="s">
        <v>107</v>
      </c>
    </row>
    <row r="60" spans="1:1" x14ac:dyDescent="0.3">
      <c r="A60" t="s">
        <v>108</v>
      </c>
    </row>
    <row r="61" spans="1:1" x14ac:dyDescent="0.3">
      <c r="A61" t="s">
        <v>109</v>
      </c>
    </row>
    <row r="62" spans="1:1" x14ac:dyDescent="0.3">
      <c r="A62" t="s">
        <v>110</v>
      </c>
    </row>
    <row r="63" spans="1:1" x14ac:dyDescent="0.3">
      <c r="A63" t="s">
        <v>111</v>
      </c>
    </row>
    <row r="64" spans="1:1" x14ac:dyDescent="0.3">
      <c r="A64" t="s">
        <v>112</v>
      </c>
    </row>
    <row r="65" spans="1:1" x14ac:dyDescent="0.3">
      <c r="A65" t="s">
        <v>113</v>
      </c>
    </row>
    <row r="66" spans="1:1" x14ac:dyDescent="0.3">
      <c r="A66" t="s">
        <v>114</v>
      </c>
    </row>
    <row r="67" spans="1:1" x14ac:dyDescent="0.3">
      <c r="A67" t="s">
        <v>115</v>
      </c>
    </row>
    <row r="68" spans="1:1" x14ac:dyDescent="0.3">
      <c r="A68" t="s">
        <v>116</v>
      </c>
    </row>
    <row r="69" spans="1:1" x14ac:dyDescent="0.3">
      <c r="A69" t="s">
        <v>117</v>
      </c>
    </row>
    <row r="70" spans="1:1" x14ac:dyDescent="0.3">
      <c r="A70" t="s">
        <v>118</v>
      </c>
    </row>
    <row r="71" spans="1:1" x14ac:dyDescent="0.3">
      <c r="A71" t="s">
        <v>119</v>
      </c>
    </row>
    <row r="72" spans="1:1" x14ac:dyDescent="0.3">
      <c r="A72" t="s">
        <v>120</v>
      </c>
    </row>
    <row r="73" spans="1:1" x14ac:dyDescent="0.3">
      <c r="A73" t="s">
        <v>121</v>
      </c>
    </row>
    <row r="74" spans="1:1" x14ac:dyDescent="0.3">
      <c r="A74" t="s">
        <v>122</v>
      </c>
    </row>
    <row r="75" spans="1:1" x14ac:dyDescent="0.3">
      <c r="A75" t="s">
        <v>123</v>
      </c>
    </row>
    <row r="76" spans="1:1" x14ac:dyDescent="0.3">
      <c r="A76" t="s">
        <v>124</v>
      </c>
    </row>
    <row r="77" spans="1:1" x14ac:dyDescent="0.3">
      <c r="A77" t="s">
        <v>125</v>
      </c>
    </row>
    <row r="78" spans="1:1" x14ac:dyDescent="0.3">
      <c r="A78" t="s">
        <v>126</v>
      </c>
    </row>
    <row r="79" spans="1:1" x14ac:dyDescent="0.3">
      <c r="A79" t="s">
        <v>127</v>
      </c>
    </row>
    <row r="80" spans="1:1" x14ac:dyDescent="0.3">
      <c r="A80" t="s">
        <v>128</v>
      </c>
    </row>
    <row r="81" spans="1:1" x14ac:dyDescent="0.3">
      <c r="A81" t="s">
        <v>129</v>
      </c>
    </row>
    <row r="82" spans="1:1" x14ac:dyDescent="0.3">
      <c r="A82" t="s">
        <v>130</v>
      </c>
    </row>
    <row r="83" spans="1:1" x14ac:dyDescent="0.3">
      <c r="A83" t="s">
        <v>131</v>
      </c>
    </row>
    <row r="84" spans="1:1" x14ac:dyDescent="0.3">
      <c r="A84" t="s">
        <v>132</v>
      </c>
    </row>
    <row r="85" spans="1:1" x14ac:dyDescent="0.3">
      <c r="A85" t="s">
        <v>133</v>
      </c>
    </row>
    <row r="86" spans="1:1" x14ac:dyDescent="0.3">
      <c r="A86" t="s">
        <v>134</v>
      </c>
    </row>
    <row r="87" spans="1:1" x14ac:dyDescent="0.3">
      <c r="A87" t="s">
        <v>135</v>
      </c>
    </row>
    <row r="88" spans="1:1" x14ac:dyDescent="0.3">
      <c r="A88" t="s">
        <v>136</v>
      </c>
    </row>
    <row r="89" spans="1:1" x14ac:dyDescent="0.3">
      <c r="A89" t="s">
        <v>137</v>
      </c>
    </row>
    <row r="90" spans="1:1" x14ac:dyDescent="0.3">
      <c r="A90" t="s">
        <v>138</v>
      </c>
    </row>
    <row r="91" spans="1:1" x14ac:dyDescent="0.3">
      <c r="A91" t="s">
        <v>139</v>
      </c>
    </row>
    <row r="92" spans="1:1" x14ac:dyDescent="0.3">
      <c r="A92" t="s">
        <v>140</v>
      </c>
    </row>
    <row r="93" spans="1:1" x14ac:dyDescent="0.3">
      <c r="A93" t="s">
        <v>141</v>
      </c>
    </row>
    <row r="94" spans="1:1" x14ac:dyDescent="0.3">
      <c r="A94" t="s">
        <v>142</v>
      </c>
    </row>
    <row r="95" spans="1:1" x14ac:dyDescent="0.3">
      <c r="A95" t="s">
        <v>143</v>
      </c>
    </row>
    <row r="96" spans="1:1" x14ac:dyDescent="0.3">
      <c r="A96" t="s">
        <v>144</v>
      </c>
    </row>
    <row r="97" spans="1:1" x14ac:dyDescent="0.3">
      <c r="A97" t="s">
        <v>145</v>
      </c>
    </row>
    <row r="98" spans="1:1" x14ac:dyDescent="0.3">
      <c r="A98" t="s">
        <v>146</v>
      </c>
    </row>
    <row r="99" spans="1:1" x14ac:dyDescent="0.3">
      <c r="A99" t="s">
        <v>147</v>
      </c>
    </row>
    <row r="100" spans="1:1" x14ac:dyDescent="0.3">
      <c r="A100" t="s">
        <v>148</v>
      </c>
    </row>
    <row r="101" spans="1:1" x14ac:dyDescent="0.3">
      <c r="A101" t="s">
        <v>149</v>
      </c>
    </row>
    <row r="102" spans="1:1" x14ac:dyDescent="0.3">
      <c r="A102" t="s">
        <v>150</v>
      </c>
    </row>
    <row r="103" spans="1:1" x14ac:dyDescent="0.3">
      <c r="A103" t="s">
        <v>151</v>
      </c>
    </row>
    <row r="104" spans="1:1" x14ac:dyDescent="0.3">
      <c r="A104" t="s">
        <v>152</v>
      </c>
    </row>
    <row r="105" spans="1:1" x14ac:dyDescent="0.3">
      <c r="A105" t="s">
        <v>153</v>
      </c>
    </row>
    <row r="106" spans="1:1" x14ac:dyDescent="0.3">
      <c r="A106" t="s">
        <v>154</v>
      </c>
    </row>
    <row r="107" spans="1:1" x14ac:dyDescent="0.3">
      <c r="A107" t="s">
        <v>155</v>
      </c>
    </row>
    <row r="108" spans="1:1" x14ac:dyDescent="0.3">
      <c r="A108" t="s">
        <v>156</v>
      </c>
    </row>
    <row r="109" spans="1:1" x14ac:dyDescent="0.3">
      <c r="A109" t="s">
        <v>157</v>
      </c>
    </row>
    <row r="110" spans="1:1" x14ac:dyDescent="0.3">
      <c r="A110" t="s">
        <v>158</v>
      </c>
    </row>
    <row r="111" spans="1:1" x14ac:dyDescent="0.3">
      <c r="A111" t="s">
        <v>159</v>
      </c>
    </row>
    <row r="112" spans="1:1" x14ac:dyDescent="0.3">
      <c r="A112" t="s">
        <v>160</v>
      </c>
    </row>
    <row r="113" spans="1:1" x14ac:dyDescent="0.3">
      <c r="A113" t="s">
        <v>161</v>
      </c>
    </row>
    <row r="114" spans="1:1" x14ac:dyDescent="0.3">
      <c r="A114" t="s">
        <v>162</v>
      </c>
    </row>
    <row r="115" spans="1:1" x14ac:dyDescent="0.3">
      <c r="A115" t="s">
        <v>163</v>
      </c>
    </row>
    <row r="116" spans="1:1" x14ac:dyDescent="0.3">
      <c r="A116" t="s">
        <v>164</v>
      </c>
    </row>
    <row r="117" spans="1:1" x14ac:dyDescent="0.3">
      <c r="A117" t="s">
        <v>165</v>
      </c>
    </row>
    <row r="118" spans="1:1" x14ac:dyDescent="0.3">
      <c r="A118" t="s">
        <v>166</v>
      </c>
    </row>
    <row r="119" spans="1:1" x14ac:dyDescent="0.3">
      <c r="A119" t="s">
        <v>167</v>
      </c>
    </row>
    <row r="120" spans="1:1" x14ac:dyDescent="0.3">
      <c r="A120" t="s">
        <v>168</v>
      </c>
    </row>
    <row r="121" spans="1:1" x14ac:dyDescent="0.3">
      <c r="A121" t="s">
        <v>169</v>
      </c>
    </row>
    <row r="122" spans="1:1" x14ac:dyDescent="0.3">
      <c r="A122" t="s">
        <v>170</v>
      </c>
    </row>
    <row r="123" spans="1:1" x14ac:dyDescent="0.3">
      <c r="A123" t="s">
        <v>171</v>
      </c>
    </row>
    <row r="124" spans="1:1" x14ac:dyDescent="0.3">
      <c r="A124" t="s">
        <v>172</v>
      </c>
    </row>
    <row r="125" spans="1:1" x14ac:dyDescent="0.3">
      <c r="A125" t="s">
        <v>173</v>
      </c>
    </row>
    <row r="126" spans="1:1" x14ac:dyDescent="0.3">
      <c r="A126" t="s">
        <v>174</v>
      </c>
    </row>
    <row r="127" spans="1:1" x14ac:dyDescent="0.3">
      <c r="A127" t="s">
        <v>175</v>
      </c>
    </row>
    <row r="128" spans="1:1" x14ac:dyDescent="0.3">
      <c r="A128" t="s">
        <v>176</v>
      </c>
    </row>
    <row r="129" spans="1:1" x14ac:dyDescent="0.3">
      <c r="A129" t="s">
        <v>177</v>
      </c>
    </row>
    <row r="130" spans="1:1" x14ac:dyDescent="0.3">
      <c r="A130" t="s">
        <v>178</v>
      </c>
    </row>
    <row r="131" spans="1:1" x14ac:dyDescent="0.3">
      <c r="A131" t="s">
        <v>179</v>
      </c>
    </row>
    <row r="132" spans="1:1" x14ac:dyDescent="0.3">
      <c r="A132" t="s">
        <v>180</v>
      </c>
    </row>
    <row r="133" spans="1:1" x14ac:dyDescent="0.3">
      <c r="A133" t="s">
        <v>181</v>
      </c>
    </row>
    <row r="134" spans="1:1" x14ac:dyDescent="0.3">
      <c r="A134" t="s">
        <v>182</v>
      </c>
    </row>
    <row r="135" spans="1:1" x14ac:dyDescent="0.3">
      <c r="A135" t="s">
        <v>183</v>
      </c>
    </row>
    <row r="136" spans="1:1" x14ac:dyDescent="0.3">
      <c r="A136" t="s">
        <v>184</v>
      </c>
    </row>
    <row r="137" spans="1:1" x14ac:dyDescent="0.3">
      <c r="A137" t="s">
        <v>185</v>
      </c>
    </row>
    <row r="138" spans="1:1" x14ac:dyDescent="0.3">
      <c r="A138" t="s">
        <v>186</v>
      </c>
    </row>
    <row r="139" spans="1:1" x14ac:dyDescent="0.3">
      <c r="A139" t="s">
        <v>187</v>
      </c>
    </row>
    <row r="140" spans="1:1" x14ac:dyDescent="0.3">
      <c r="A140" t="s">
        <v>188</v>
      </c>
    </row>
    <row r="141" spans="1:1" x14ac:dyDescent="0.3">
      <c r="A141" t="s">
        <v>189</v>
      </c>
    </row>
    <row r="142" spans="1:1" x14ac:dyDescent="0.3">
      <c r="A142" t="s">
        <v>190</v>
      </c>
    </row>
    <row r="143" spans="1:1" x14ac:dyDescent="0.3">
      <c r="A143" t="s">
        <v>191</v>
      </c>
    </row>
    <row r="144" spans="1:1" x14ac:dyDescent="0.3">
      <c r="A144" t="s">
        <v>192</v>
      </c>
    </row>
    <row r="145" spans="1:1" x14ac:dyDescent="0.3">
      <c r="A145" t="s">
        <v>193</v>
      </c>
    </row>
    <row r="146" spans="1:1" x14ac:dyDescent="0.3">
      <c r="A146" t="s">
        <v>194</v>
      </c>
    </row>
    <row r="147" spans="1:1" x14ac:dyDescent="0.3">
      <c r="A147" t="s">
        <v>195</v>
      </c>
    </row>
    <row r="148" spans="1:1" x14ac:dyDescent="0.3">
      <c r="A148" t="s">
        <v>196</v>
      </c>
    </row>
    <row r="149" spans="1:1" x14ac:dyDescent="0.3">
      <c r="A149" t="s">
        <v>197</v>
      </c>
    </row>
    <row r="150" spans="1:1" x14ac:dyDescent="0.3">
      <c r="A150" t="s">
        <v>198</v>
      </c>
    </row>
    <row r="151" spans="1:1" x14ac:dyDescent="0.3">
      <c r="A151" t="s">
        <v>199</v>
      </c>
    </row>
    <row r="152" spans="1:1" x14ac:dyDescent="0.3">
      <c r="A152" t="s">
        <v>200</v>
      </c>
    </row>
    <row r="153" spans="1:1" x14ac:dyDescent="0.3">
      <c r="A153" t="s">
        <v>201</v>
      </c>
    </row>
    <row r="154" spans="1:1" x14ac:dyDescent="0.3">
      <c r="A154" t="s">
        <v>202</v>
      </c>
    </row>
    <row r="155" spans="1:1" x14ac:dyDescent="0.3">
      <c r="A155" t="s">
        <v>203</v>
      </c>
    </row>
    <row r="156" spans="1:1" x14ac:dyDescent="0.3">
      <c r="A156" t="s">
        <v>204</v>
      </c>
    </row>
    <row r="157" spans="1:1" x14ac:dyDescent="0.3">
      <c r="A157" t="s">
        <v>205</v>
      </c>
    </row>
    <row r="158" spans="1:1" x14ac:dyDescent="0.3">
      <c r="A158" t="s">
        <v>206</v>
      </c>
    </row>
    <row r="159" spans="1:1" x14ac:dyDescent="0.3">
      <c r="A159" t="s">
        <v>207</v>
      </c>
    </row>
    <row r="160" spans="1:1" x14ac:dyDescent="0.3">
      <c r="A160" t="s">
        <v>208</v>
      </c>
    </row>
    <row r="161" spans="1:1" x14ac:dyDescent="0.3">
      <c r="A161" t="s">
        <v>209</v>
      </c>
    </row>
    <row r="162" spans="1:1" x14ac:dyDescent="0.3">
      <c r="A162" t="s">
        <v>210</v>
      </c>
    </row>
    <row r="163" spans="1:1" x14ac:dyDescent="0.3">
      <c r="A163" t="s">
        <v>211</v>
      </c>
    </row>
    <row r="164" spans="1:1" x14ac:dyDescent="0.3">
      <c r="A164" t="s">
        <v>212</v>
      </c>
    </row>
    <row r="165" spans="1:1" x14ac:dyDescent="0.3">
      <c r="A165" t="s">
        <v>213</v>
      </c>
    </row>
    <row r="166" spans="1:1" x14ac:dyDescent="0.3">
      <c r="A166" t="s">
        <v>214</v>
      </c>
    </row>
    <row r="167" spans="1:1" x14ac:dyDescent="0.3">
      <c r="A167" t="s">
        <v>215</v>
      </c>
    </row>
    <row r="168" spans="1:1" x14ac:dyDescent="0.3">
      <c r="A168" t="s">
        <v>216</v>
      </c>
    </row>
    <row r="169" spans="1:1" x14ac:dyDescent="0.3">
      <c r="A169" t="s">
        <v>217</v>
      </c>
    </row>
    <row r="170" spans="1:1" x14ac:dyDescent="0.3">
      <c r="A170" t="s">
        <v>218</v>
      </c>
    </row>
    <row r="171" spans="1:1" x14ac:dyDescent="0.3">
      <c r="A171" t="s">
        <v>219</v>
      </c>
    </row>
    <row r="172" spans="1:1" x14ac:dyDescent="0.3">
      <c r="A172" t="s">
        <v>220</v>
      </c>
    </row>
    <row r="173" spans="1:1" x14ac:dyDescent="0.3">
      <c r="A173" t="s">
        <v>221</v>
      </c>
    </row>
    <row r="174" spans="1:1" x14ac:dyDescent="0.3">
      <c r="A174" t="s">
        <v>222</v>
      </c>
    </row>
    <row r="175" spans="1:1" x14ac:dyDescent="0.3">
      <c r="A175" t="s">
        <v>223</v>
      </c>
    </row>
    <row r="176" spans="1:1" x14ac:dyDescent="0.3">
      <c r="A176" t="s">
        <v>224</v>
      </c>
    </row>
    <row r="177" spans="1:1" x14ac:dyDescent="0.3">
      <c r="A177" t="s">
        <v>225</v>
      </c>
    </row>
    <row r="178" spans="1:1" x14ac:dyDescent="0.3">
      <c r="A178" t="s">
        <v>226</v>
      </c>
    </row>
    <row r="179" spans="1:1" x14ac:dyDescent="0.3">
      <c r="A179" t="s">
        <v>227</v>
      </c>
    </row>
    <row r="180" spans="1:1" x14ac:dyDescent="0.3">
      <c r="A180" t="s">
        <v>228</v>
      </c>
    </row>
    <row r="181" spans="1:1" x14ac:dyDescent="0.3">
      <c r="A181" t="s">
        <v>229</v>
      </c>
    </row>
    <row r="182" spans="1:1" x14ac:dyDescent="0.3">
      <c r="A182" t="s">
        <v>230</v>
      </c>
    </row>
    <row r="183" spans="1:1" x14ac:dyDescent="0.3">
      <c r="A183" t="s">
        <v>231</v>
      </c>
    </row>
    <row r="184" spans="1:1" x14ac:dyDescent="0.3">
      <c r="A184" t="s">
        <v>232</v>
      </c>
    </row>
    <row r="185" spans="1:1" x14ac:dyDescent="0.3">
      <c r="A185" t="s">
        <v>233</v>
      </c>
    </row>
    <row r="186" spans="1:1" x14ac:dyDescent="0.3">
      <c r="A186" t="s">
        <v>234</v>
      </c>
    </row>
    <row r="187" spans="1:1" x14ac:dyDescent="0.3">
      <c r="A187" t="s">
        <v>235</v>
      </c>
    </row>
    <row r="188" spans="1:1" x14ac:dyDescent="0.3">
      <c r="A188" t="s">
        <v>236</v>
      </c>
    </row>
    <row r="189" spans="1:1" x14ac:dyDescent="0.3">
      <c r="A189" t="s">
        <v>237</v>
      </c>
    </row>
    <row r="190" spans="1:1" x14ac:dyDescent="0.3">
      <c r="A190" t="s">
        <v>238</v>
      </c>
    </row>
    <row r="191" spans="1:1" x14ac:dyDescent="0.3">
      <c r="A191" t="s">
        <v>239</v>
      </c>
    </row>
    <row r="192" spans="1:1" x14ac:dyDescent="0.3">
      <c r="A192" t="s">
        <v>240</v>
      </c>
    </row>
    <row r="193" spans="1:1" x14ac:dyDescent="0.3">
      <c r="A193" t="s">
        <v>241</v>
      </c>
    </row>
    <row r="194" spans="1:1" x14ac:dyDescent="0.3">
      <c r="A194" t="s">
        <v>242</v>
      </c>
    </row>
    <row r="195" spans="1:1" x14ac:dyDescent="0.3">
      <c r="A195" t="s">
        <v>243</v>
      </c>
    </row>
    <row r="196" spans="1:1" x14ac:dyDescent="0.3">
      <c r="A196" t="s">
        <v>244</v>
      </c>
    </row>
    <row r="197" spans="1:1" x14ac:dyDescent="0.3">
      <c r="A197" t="s">
        <v>245</v>
      </c>
    </row>
    <row r="198" spans="1:1" x14ac:dyDescent="0.3">
      <c r="A198" t="s">
        <v>246</v>
      </c>
    </row>
    <row r="199" spans="1:1" x14ac:dyDescent="0.3">
      <c r="A199" t="s">
        <v>247</v>
      </c>
    </row>
    <row r="200" spans="1:1" x14ac:dyDescent="0.3">
      <c r="A200" t="s">
        <v>248</v>
      </c>
    </row>
    <row r="201" spans="1:1" x14ac:dyDescent="0.3">
      <c r="A201" t="s">
        <v>249</v>
      </c>
    </row>
    <row r="202" spans="1:1" x14ac:dyDescent="0.3">
      <c r="A202" t="s">
        <v>250</v>
      </c>
    </row>
    <row r="203" spans="1:1" x14ac:dyDescent="0.3">
      <c r="A203" t="s">
        <v>251</v>
      </c>
    </row>
    <row r="204" spans="1:1" x14ac:dyDescent="0.3">
      <c r="A204" t="s">
        <v>252</v>
      </c>
    </row>
    <row r="205" spans="1:1" x14ac:dyDescent="0.3">
      <c r="A205" t="s">
        <v>253</v>
      </c>
    </row>
    <row r="206" spans="1:1" x14ac:dyDescent="0.3">
      <c r="A206" t="s">
        <v>254</v>
      </c>
    </row>
    <row r="207" spans="1:1" x14ac:dyDescent="0.3">
      <c r="A207" t="s">
        <v>255</v>
      </c>
    </row>
    <row r="208" spans="1:1" x14ac:dyDescent="0.3">
      <c r="A208" t="s">
        <v>256</v>
      </c>
    </row>
    <row r="209" spans="1:1" x14ac:dyDescent="0.3">
      <c r="A209" t="s">
        <v>257</v>
      </c>
    </row>
    <row r="210" spans="1:1" x14ac:dyDescent="0.3">
      <c r="A210" t="s">
        <v>258</v>
      </c>
    </row>
    <row r="211" spans="1:1" x14ac:dyDescent="0.3">
      <c r="A211" t="s">
        <v>259</v>
      </c>
    </row>
    <row r="212" spans="1:1" x14ac:dyDescent="0.3">
      <c r="A212" t="s">
        <v>260</v>
      </c>
    </row>
    <row r="213" spans="1:1" x14ac:dyDescent="0.3">
      <c r="A213" t="s">
        <v>261</v>
      </c>
    </row>
    <row r="214" spans="1:1" x14ac:dyDescent="0.3">
      <c r="A214" t="s">
        <v>262</v>
      </c>
    </row>
    <row r="215" spans="1:1" x14ac:dyDescent="0.3">
      <c r="A215" t="s">
        <v>263</v>
      </c>
    </row>
    <row r="216" spans="1:1" x14ac:dyDescent="0.3">
      <c r="A216" t="s">
        <v>264</v>
      </c>
    </row>
    <row r="217" spans="1:1" x14ac:dyDescent="0.3">
      <c r="A217" t="s">
        <v>265</v>
      </c>
    </row>
    <row r="218" spans="1:1" x14ac:dyDescent="0.3">
      <c r="A218" t="s">
        <v>266</v>
      </c>
    </row>
    <row r="219" spans="1:1" x14ac:dyDescent="0.3">
      <c r="A219" t="s">
        <v>267</v>
      </c>
    </row>
    <row r="220" spans="1:1" x14ac:dyDescent="0.3">
      <c r="A220" t="s">
        <v>268</v>
      </c>
    </row>
    <row r="221" spans="1:1" x14ac:dyDescent="0.3">
      <c r="A221" t="s">
        <v>269</v>
      </c>
    </row>
    <row r="222" spans="1:1" x14ac:dyDescent="0.3">
      <c r="A222" t="s">
        <v>270</v>
      </c>
    </row>
    <row r="223" spans="1:1" x14ac:dyDescent="0.3">
      <c r="A223" t="s">
        <v>271</v>
      </c>
    </row>
    <row r="224" spans="1:1" x14ac:dyDescent="0.3">
      <c r="A224" t="s">
        <v>272</v>
      </c>
    </row>
    <row r="225" spans="1:1" x14ac:dyDescent="0.3">
      <c r="A225" t="s">
        <v>273</v>
      </c>
    </row>
    <row r="226" spans="1:1" x14ac:dyDescent="0.3">
      <c r="A226" t="s">
        <v>274</v>
      </c>
    </row>
    <row r="227" spans="1:1" x14ac:dyDescent="0.3">
      <c r="A227" t="s">
        <v>275</v>
      </c>
    </row>
    <row r="228" spans="1:1" x14ac:dyDescent="0.3">
      <c r="A228" t="s">
        <v>276</v>
      </c>
    </row>
    <row r="229" spans="1:1" x14ac:dyDescent="0.3">
      <c r="A229" t="s">
        <v>277</v>
      </c>
    </row>
    <row r="230" spans="1:1" x14ac:dyDescent="0.3">
      <c r="A230" t="s">
        <v>278</v>
      </c>
    </row>
    <row r="231" spans="1:1" x14ac:dyDescent="0.3">
      <c r="A231" t="s">
        <v>279</v>
      </c>
    </row>
    <row r="232" spans="1:1" x14ac:dyDescent="0.3">
      <c r="A232" t="s">
        <v>280</v>
      </c>
    </row>
    <row r="233" spans="1:1" x14ac:dyDescent="0.3">
      <c r="A233" t="s">
        <v>281</v>
      </c>
    </row>
    <row r="234" spans="1:1" x14ac:dyDescent="0.3">
      <c r="A234" t="s">
        <v>282</v>
      </c>
    </row>
    <row r="235" spans="1:1" x14ac:dyDescent="0.3">
      <c r="A235" t="s">
        <v>283</v>
      </c>
    </row>
    <row r="236" spans="1:1" x14ac:dyDescent="0.3">
      <c r="A236" t="s">
        <v>284</v>
      </c>
    </row>
    <row r="237" spans="1:1" x14ac:dyDescent="0.3">
      <c r="A237" t="s">
        <v>285</v>
      </c>
    </row>
    <row r="238" spans="1:1" x14ac:dyDescent="0.3">
      <c r="A238" t="s">
        <v>286</v>
      </c>
    </row>
    <row r="239" spans="1:1" x14ac:dyDescent="0.3">
      <c r="A239" t="s">
        <v>287</v>
      </c>
    </row>
    <row r="240" spans="1:1" x14ac:dyDescent="0.3">
      <c r="A240" t="s">
        <v>288</v>
      </c>
    </row>
    <row r="241" spans="1:1" x14ac:dyDescent="0.3">
      <c r="A241" t="s">
        <v>289</v>
      </c>
    </row>
    <row r="242" spans="1:1" x14ac:dyDescent="0.3">
      <c r="A242" t="s">
        <v>290</v>
      </c>
    </row>
    <row r="243" spans="1:1" x14ac:dyDescent="0.3">
      <c r="A243" t="s">
        <v>291</v>
      </c>
    </row>
    <row r="244" spans="1:1" x14ac:dyDescent="0.3">
      <c r="A244" t="s">
        <v>292</v>
      </c>
    </row>
    <row r="245" spans="1:1" x14ac:dyDescent="0.3">
      <c r="A245" t="s">
        <v>293</v>
      </c>
    </row>
    <row r="246" spans="1:1" x14ac:dyDescent="0.3">
      <c r="A246" t="s">
        <v>294</v>
      </c>
    </row>
    <row r="247" spans="1:1" x14ac:dyDescent="0.3">
      <c r="A247" t="s">
        <v>295</v>
      </c>
    </row>
    <row r="248" spans="1:1" x14ac:dyDescent="0.3">
      <c r="A248" t="s">
        <v>296</v>
      </c>
    </row>
    <row r="249" spans="1:1" x14ac:dyDescent="0.3">
      <c r="A249" t="s">
        <v>297</v>
      </c>
    </row>
    <row r="250" spans="1:1" x14ac:dyDescent="0.3">
      <c r="A250" t="s">
        <v>298</v>
      </c>
    </row>
    <row r="251" spans="1:1" x14ac:dyDescent="0.3">
      <c r="A251" t="s">
        <v>299</v>
      </c>
    </row>
    <row r="252" spans="1:1" x14ac:dyDescent="0.3">
      <c r="A252" t="s">
        <v>300</v>
      </c>
    </row>
    <row r="253" spans="1:1" x14ac:dyDescent="0.3">
      <c r="A253" t="s">
        <v>301</v>
      </c>
    </row>
    <row r="254" spans="1:1" x14ac:dyDescent="0.3">
      <c r="A254" t="s">
        <v>302</v>
      </c>
    </row>
    <row r="255" spans="1:1" x14ac:dyDescent="0.3">
      <c r="A255" t="s">
        <v>303</v>
      </c>
    </row>
    <row r="256" spans="1:1" x14ac:dyDescent="0.3">
      <c r="A256" t="s">
        <v>304</v>
      </c>
    </row>
    <row r="257" spans="1:1" x14ac:dyDescent="0.3">
      <c r="A257" t="s">
        <v>305</v>
      </c>
    </row>
    <row r="258" spans="1:1" x14ac:dyDescent="0.3">
      <c r="A258" t="s">
        <v>306</v>
      </c>
    </row>
    <row r="259" spans="1:1" x14ac:dyDescent="0.3">
      <c r="A259" t="s">
        <v>307</v>
      </c>
    </row>
    <row r="260" spans="1:1" x14ac:dyDescent="0.3">
      <c r="A260" t="s">
        <v>308</v>
      </c>
    </row>
    <row r="261" spans="1:1" x14ac:dyDescent="0.3">
      <c r="A261" t="s">
        <v>309</v>
      </c>
    </row>
    <row r="262" spans="1:1" x14ac:dyDescent="0.3">
      <c r="A262" t="s">
        <v>310</v>
      </c>
    </row>
    <row r="263" spans="1:1" x14ac:dyDescent="0.3">
      <c r="A263" t="s">
        <v>311</v>
      </c>
    </row>
    <row r="264" spans="1:1" x14ac:dyDescent="0.3">
      <c r="A264" t="s">
        <v>312</v>
      </c>
    </row>
    <row r="265" spans="1:1" x14ac:dyDescent="0.3">
      <c r="A265" t="s">
        <v>313</v>
      </c>
    </row>
    <row r="266" spans="1:1" x14ac:dyDescent="0.3">
      <c r="A266" t="s">
        <v>314</v>
      </c>
    </row>
    <row r="267" spans="1:1" x14ac:dyDescent="0.3">
      <c r="A267" t="s">
        <v>315</v>
      </c>
    </row>
    <row r="268" spans="1:1" x14ac:dyDescent="0.3">
      <c r="A268" t="s">
        <v>316</v>
      </c>
    </row>
    <row r="269" spans="1:1" x14ac:dyDescent="0.3">
      <c r="A269" t="s">
        <v>317</v>
      </c>
    </row>
    <row r="270" spans="1:1" x14ac:dyDescent="0.3">
      <c r="A270" t="s">
        <v>318</v>
      </c>
    </row>
    <row r="271" spans="1:1" x14ac:dyDescent="0.3">
      <c r="A271" t="s">
        <v>319</v>
      </c>
    </row>
    <row r="272" spans="1:1" x14ac:dyDescent="0.3">
      <c r="A272" t="s">
        <v>320</v>
      </c>
    </row>
    <row r="273" spans="1:1" x14ac:dyDescent="0.3">
      <c r="A273" t="s">
        <v>321</v>
      </c>
    </row>
    <row r="274" spans="1:1" x14ac:dyDescent="0.3">
      <c r="A274" t="s">
        <v>322</v>
      </c>
    </row>
    <row r="275" spans="1:1" x14ac:dyDescent="0.3">
      <c r="A275" t="s">
        <v>323</v>
      </c>
    </row>
    <row r="276" spans="1:1" x14ac:dyDescent="0.3">
      <c r="A276" t="s">
        <v>324</v>
      </c>
    </row>
    <row r="277" spans="1:1" x14ac:dyDescent="0.3">
      <c r="A277" t="s">
        <v>325</v>
      </c>
    </row>
    <row r="278" spans="1:1" x14ac:dyDescent="0.3">
      <c r="A278" t="s">
        <v>326</v>
      </c>
    </row>
    <row r="279" spans="1:1" x14ac:dyDescent="0.3">
      <c r="A279" t="s">
        <v>327</v>
      </c>
    </row>
    <row r="280" spans="1:1" x14ac:dyDescent="0.3">
      <c r="A280" t="s">
        <v>328</v>
      </c>
    </row>
    <row r="281" spans="1:1" x14ac:dyDescent="0.3">
      <c r="A281" t="s">
        <v>329</v>
      </c>
    </row>
    <row r="282" spans="1:1" x14ac:dyDescent="0.3">
      <c r="A282" t="s">
        <v>330</v>
      </c>
    </row>
    <row r="283" spans="1:1" x14ac:dyDescent="0.3">
      <c r="A283" t="s">
        <v>331</v>
      </c>
    </row>
    <row r="284" spans="1:1" x14ac:dyDescent="0.3">
      <c r="A284" t="s">
        <v>332</v>
      </c>
    </row>
    <row r="285" spans="1:1" x14ac:dyDescent="0.3">
      <c r="A285" t="s">
        <v>333</v>
      </c>
    </row>
    <row r="286" spans="1:1" x14ac:dyDescent="0.3">
      <c r="A286" t="s">
        <v>334</v>
      </c>
    </row>
    <row r="287" spans="1:1" x14ac:dyDescent="0.3">
      <c r="A287" t="s">
        <v>335</v>
      </c>
    </row>
    <row r="288" spans="1:1" x14ac:dyDescent="0.3">
      <c r="A288" t="s">
        <v>336</v>
      </c>
    </row>
    <row r="289" spans="1:1" x14ac:dyDescent="0.3">
      <c r="A289" t="s">
        <v>337</v>
      </c>
    </row>
    <row r="290" spans="1:1" x14ac:dyDescent="0.3">
      <c r="A290" t="s">
        <v>338</v>
      </c>
    </row>
    <row r="291" spans="1:1" x14ac:dyDescent="0.3">
      <c r="A291" t="s">
        <v>339</v>
      </c>
    </row>
    <row r="292" spans="1:1" x14ac:dyDescent="0.3">
      <c r="A292" t="s">
        <v>340</v>
      </c>
    </row>
    <row r="293" spans="1:1" x14ac:dyDescent="0.3">
      <c r="A293" t="s">
        <v>341</v>
      </c>
    </row>
    <row r="294" spans="1:1" x14ac:dyDescent="0.3">
      <c r="A294" t="s">
        <v>342</v>
      </c>
    </row>
    <row r="295" spans="1:1" x14ac:dyDescent="0.3">
      <c r="A295" t="s">
        <v>343</v>
      </c>
    </row>
    <row r="296" spans="1:1" x14ac:dyDescent="0.3">
      <c r="A296" t="s">
        <v>344</v>
      </c>
    </row>
    <row r="297" spans="1:1" x14ac:dyDescent="0.3">
      <c r="A297" t="s">
        <v>345</v>
      </c>
    </row>
    <row r="298" spans="1:1" x14ac:dyDescent="0.3">
      <c r="A298" t="s">
        <v>346</v>
      </c>
    </row>
    <row r="299" spans="1:1" x14ac:dyDescent="0.3">
      <c r="A299" t="s">
        <v>347</v>
      </c>
    </row>
    <row r="300" spans="1:1" x14ac:dyDescent="0.3">
      <c r="A300" t="s">
        <v>348</v>
      </c>
    </row>
    <row r="301" spans="1:1" x14ac:dyDescent="0.3">
      <c r="A301" t="s">
        <v>349</v>
      </c>
    </row>
    <row r="302" spans="1:1" x14ac:dyDescent="0.3">
      <c r="A302" t="s">
        <v>350</v>
      </c>
    </row>
    <row r="303" spans="1:1" x14ac:dyDescent="0.3">
      <c r="A303" t="s">
        <v>351</v>
      </c>
    </row>
    <row r="304" spans="1:1" x14ac:dyDescent="0.3">
      <c r="A304" t="s">
        <v>352</v>
      </c>
    </row>
    <row r="305" spans="1:1" x14ac:dyDescent="0.3">
      <c r="A305" t="s">
        <v>353</v>
      </c>
    </row>
    <row r="306" spans="1:1" x14ac:dyDescent="0.3">
      <c r="A306" t="s">
        <v>354</v>
      </c>
    </row>
    <row r="307" spans="1:1" x14ac:dyDescent="0.3">
      <c r="A307" t="s">
        <v>355</v>
      </c>
    </row>
    <row r="308" spans="1:1" x14ac:dyDescent="0.3">
      <c r="A308" t="s">
        <v>356</v>
      </c>
    </row>
    <row r="309" spans="1:1" x14ac:dyDescent="0.3">
      <c r="A309" t="s">
        <v>357</v>
      </c>
    </row>
    <row r="310" spans="1:1" x14ac:dyDescent="0.3">
      <c r="A310" t="s">
        <v>358</v>
      </c>
    </row>
    <row r="311" spans="1:1" x14ac:dyDescent="0.3">
      <c r="A311" t="s">
        <v>359</v>
      </c>
    </row>
    <row r="312" spans="1:1" x14ac:dyDescent="0.3">
      <c r="A312" t="s">
        <v>360</v>
      </c>
    </row>
    <row r="313" spans="1:1" x14ac:dyDescent="0.3">
      <c r="A313" t="s">
        <v>361</v>
      </c>
    </row>
    <row r="314" spans="1:1" x14ac:dyDescent="0.3">
      <c r="A314" t="s">
        <v>362</v>
      </c>
    </row>
    <row r="315" spans="1:1" x14ac:dyDescent="0.3">
      <c r="A315" t="s">
        <v>363</v>
      </c>
    </row>
    <row r="316" spans="1:1" x14ac:dyDescent="0.3">
      <c r="A316" t="s">
        <v>364</v>
      </c>
    </row>
    <row r="317" spans="1:1" x14ac:dyDescent="0.3">
      <c r="A317" t="s">
        <v>365</v>
      </c>
    </row>
    <row r="318" spans="1:1" x14ac:dyDescent="0.3">
      <c r="A318" t="s">
        <v>366</v>
      </c>
    </row>
    <row r="319" spans="1:1" x14ac:dyDescent="0.3">
      <c r="A319" t="s">
        <v>367</v>
      </c>
    </row>
    <row r="320" spans="1:1" x14ac:dyDescent="0.3">
      <c r="A320" t="s">
        <v>368</v>
      </c>
    </row>
    <row r="321" spans="1:1" x14ac:dyDescent="0.3">
      <c r="A321" t="s">
        <v>369</v>
      </c>
    </row>
    <row r="322" spans="1:1" x14ac:dyDescent="0.3">
      <c r="A322" t="s">
        <v>370</v>
      </c>
    </row>
    <row r="323" spans="1:1" x14ac:dyDescent="0.3">
      <c r="A323" t="s">
        <v>371</v>
      </c>
    </row>
    <row r="324" spans="1:1" x14ac:dyDescent="0.3">
      <c r="A324" t="s">
        <v>372</v>
      </c>
    </row>
    <row r="325" spans="1:1" x14ac:dyDescent="0.3">
      <c r="A325" t="s">
        <v>373</v>
      </c>
    </row>
    <row r="326" spans="1:1" x14ac:dyDescent="0.3">
      <c r="A326" t="s">
        <v>374</v>
      </c>
    </row>
    <row r="327" spans="1:1" x14ac:dyDescent="0.3">
      <c r="A327" t="s">
        <v>375</v>
      </c>
    </row>
    <row r="328" spans="1:1" x14ac:dyDescent="0.3">
      <c r="A328" t="s">
        <v>376</v>
      </c>
    </row>
    <row r="329" spans="1:1" x14ac:dyDescent="0.3">
      <c r="A329" t="s">
        <v>377</v>
      </c>
    </row>
    <row r="330" spans="1:1" x14ac:dyDescent="0.3">
      <c r="A330" t="s">
        <v>378</v>
      </c>
    </row>
    <row r="331" spans="1:1" x14ac:dyDescent="0.3">
      <c r="A331" t="s">
        <v>379</v>
      </c>
    </row>
    <row r="332" spans="1:1" x14ac:dyDescent="0.3">
      <c r="A332" t="s">
        <v>380</v>
      </c>
    </row>
    <row r="333" spans="1:1" x14ac:dyDescent="0.3">
      <c r="A333" t="s">
        <v>381</v>
      </c>
    </row>
    <row r="334" spans="1:1" x14ac:dyDescent="0.3">
      <c r="A334" t="s">
        <v>382</v>
      </c>
    </row>
    <row r="335" spans="1:1" x14ac:dyDescent="0.3">
      <c r="A335" t="s">
        <v>383</v>
      </c>
    </row>
    <row r="336" spans="1:1" x14ac:dyDescent="0.3">
      <c r="A336" t="s">
        <v>384</v>
      </c>
    </row>
    <row r="337" spans="1:1" x14ac:dyDescent="0.3">
      <c r="A337" t="s">
        <v>385</v>
      </c>
    </row>
    <row r="338" spans="1:1" x14ac:dyDescent="0.3">
      <c r="A338" t="s">
        <v>386</v>
      </c>
    </row>
    <row r="339" spans="1:1" x14ac:dyDescent="0.3">
      <c r="A339" t="s">
        <v>387</v>
      </c>
    </row>
    <row r="340" spans="1:1" x14ac:dyDescent="0.3">
      <c r="A340" t="s">
        <v>388</v>
      </c>
    </row>
    <row r="341" spans="1:1" x14ac:dyDescent="0.3">
      <c r="A341" t="s">
        <v>389</v>
      </c>
    </row>
    <row r="342" spans="1:1" x14ac:dyDescent="0.3">
      <c r="A342" t="s">
        <v>390</v>
      </c>
    </row>
    <row r="343" spans="1:1" x14ac:dyDescent="0.3">
      <c r="A343" t="s">
        <v>391</v>
      </c>
    </row>
    <row r="344" spans="1:1" x14ac:dyDescent="0.3">
      <c r="A344" t="s">
        <v>392</v>
      </c>
    </row>
    <row r="345" spans="1:1" x14ac:dyDescent="0.3">
      <c r="A345" t="s">
        <v>393</v>
      </c>
    </row>
    <row r="346" spans="1:1" x14ac:dyDescent="0.3">
      <c r="A346" t="s">
        <v>394</v>
      </c>
    </row>
    <row r="347" spans="1:1" x14ac:dyDescent="0.3">
      <c r="A347" t="s">
        <v>395</v>
      </c>
    </row>
    <row r="348" spans="1:1" x14ac:dyDescent="0.3">
      <c r="A348" t="s">
        <v>396</v>
      </c>
    </row>
    <row r="349" spans="1:1" x14ac:dyDescent="0.3">
      <c r="A349" t="s">
        <v>397</v>
      </c>
    </row>
    <row r="350" spans="1:1" x14ac:dyDescent="0.3">
      <c r="A350" t="s">
        <v>398</v>
      </c>
    </row>
    <row r="351" spans="1:1" x14ac:dyDescent="0.3">
      <c r="A351" t="s">
        <v>399</v>
      </c>
    </row>
    <row r="352" spans="1:1" x14ac:dyDescent="0.3">
      <c r="A352" t="s">
        <v>400</v>
      </c>
    </row>
    <row r="353" spans="1:1" x14ac:dyDescent="0.3">
      <c r="A353" t="s">
        <v>401</v>
      </c>
    </row>
    <row r="354" spans="1:1" x14ac:dyDescent="0.3">
      <c r="A354" t="s">
        <v>402</v>
      </c>
    </row>
    <row r="355" spans="1:1" x14ac:dyDescent="0.3">
      <c r="A355" t="s">
        <v>403</v>
      </c>
    </row>
    <row r="356" spans="1:1" x14ac:dyDescent="0.3">
      <c r="A356" t="s">
        <v>404</v>
      </c>
    </row>
    <row r="357" spans="1:1" x14ac:dyDescent="0.3">
      <c r="A357" t="s">
        <v>405</v>
      </c>
    </row>
    <row r="358" spans="1:1" x14ac:dyDescent="0.3">
      <c r="A358" t="s">
        <v>406</v>
      </c>
    </row>
    <row r="359" spans="1:1" x14ac:dyDescent="0.3">
      <c r="A359" t="s">
        <v>407</v>
      </c>
    </row>
    <row r="360" spans="1:1" x14ac:dyDescent="0.3">
      <c r="A360" t="s">
        <v>408</v>
      </c>
    </row>
    <row r="361" spans="1:1" x14ac:dyDescent="0.3">
      <c r="A361" t="s">
        <v>409</v>
      </c>
    </row>
    <row r="362" spans="1:1" x14ac:dyDescent="0.3">
      <c r="A362" t="s">
        <v>410</v>
      </c>
    </row>
    <row r="363" spans="1:1" x14ac:dyDescent="0.3">
      <c r="A363" t="s">
        <v>411</v>
      </c>
    </row>
    <row r="364" spans="1:1" x14ac:dyDescent="0.3">
      <c r="A364" t="s">
        <v>412</v>
      </c>
    </row>
    <row r="365" spans="1:1" x14ac:dyDescent="0.3">
      <c r="A365" t="s">
        <v>413</v>
      </c>
    </row>
    <row r="366" spans="1:1" x14ac:dyDescent="0.3">
      <c r="A366" t="s">
        <v>414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F46"/>
  <sheetViews>
    <sheetView tabSelected="1" workbookViewId="0">
      <selection activeCell="J18" sqref="J17:J18"/>
    </sheetView>
  </sheetViews>
  <sheetFormatPr defaultRowHeight="14.4" x14ac:dyDescent="0.3"/>
  <cols>
    <col min="3" max="3" width="39" bestFit="1" customWidth="1"/>
  </cols>
  <sheetData>
    <row r="1" spans="1:6" x14ac:dyDescent="0.3">
      <c r="D1" t="s">
        <v>55</v>
      </c>
      <c r="E1" t="s">
        <v>56</v>
      </c>
    </row>
    <row r="2" spans="1:6" x14ac:dyDescent="0.3">
      <c r="A2" s="6" t="s">
        <v>0</v>
      </c>
      <c r="B2">
        <v>1</v>
      </c>
      <c r="C2" t="str">
        <f>"new Grupo { CodigoGrupo = "&amp;CHAR(34)&amp;A2&amp;CHAR(34)&amp;", Id = "&amp;B2&amp;" },"</f>
        <v>new Grupo { CodigoGrupo = "C-1", Id = 1 },</v>
      </c>
      <c r="D2">
        <v>2</v>
      </c>
      <c r="E2">
        <v>2</v>
      </c>
      <c r="F2" t="str">
        <f>"new LimiteDimensionamento { Id = "&amp;B2&amp;", Limite = 10000, IntervaloAcrescimo = 2500, AcrescimoEfetivos = "&amp;D2&amp;",  AcrescimoSuplentes = "&amp;E2&amp;" },"</f>
        <v>new LimiteDimensionamento { Id = 1, Limite = 10000, IntervaloAcrescimo = 2500, AcrescimoEfetivos = 2,  AcrescimoSuplentes = 2 },</v>
      </c>
    </row>
    <row r="3" spans="1:6" x14ac:dyDescent="0.3">
      <c r="A3" s="6" t="s">
        <v>1</v>
      </c>
      <c r="B3">
        <v>2</v>
      </c>
      <c r="C3" t="str">
        <f t="shared" ref="C3:C46" si="0">"new Grupo { CodigoGrupo = "&amp;CHAR(34)&amp;A3&amp;CHAR(34)&amp;", Id = "&amp;B3&amp;" },"</f>
        <v>new Grupo { CodigoGrupo = "C-1a", Id = 2 },</v>
      </c>
      <c r="D3">
        <v>2</v>
      </c>
      <c r="E3">
        <v>2</v>
      </c>
      <c r="F3" t="str">
        <f t="shared" ref="F3:F46" si="1">"new LimiteDimensionamento { Id = "&amp;B3&amp;", Limite = 10000, IntervaloAcrescimo = 2500, AcrescimoEfetivos = "&amp;D3&amp;",  AcrescimoSuplentes = "&amp;E3&amp;" },"</f>
        <v>new LimiteDimensionamento { Id = 2, Limite = 10000, IntervaloAcrescimo = 2500, AcrescimoEfetivos = 2,  AcrescimoSuplentes = 2 },</v>
      </c>
    </row>
    <row r="4" spans="1:6" x14ac:dyDescent="0.3">
      <c r="A4" s="6" t="s">
        <v>2</v>
      </c>
      <c r="B4">
        <v>3</v>
      </c>
      <c r="C4" t="str">
        <f t="shared" si="0"/>
        <v>new Grupo { CodigoGrupo = "C-2", Id = 3 },</v>
      </c>
      <c r="D4">
        <v>2</v>
      </c>
      <c r="E4">
        <v>1</v>
      </c>
      <c r="F4" t="str">
        <f t="shared" si="1"/>
        <v>new LimiteDimensionamento { Id = 3, Limite = 10000, IntervaloAcrescimo = 2500, AcrescimoEfetivos = 2,  AcrescimoSuplentes = 1 },</v>
      </c>
    </row>
    <row r="5" spans="1:6" x14ac:dyDescent="0.3">
      <c r="A5" s="6" t="s">
        <v>5</v>
      </c>
      <c r="B5">
        <v>4</v>
      </c>
      <c r="C5" t="str">
        <f t="shared" si="0"/>
        <v>new Grupo { CodigoGrupo = "C-3", Id = 4 },</v>
      </c>
      <c r="D5">
        <v>2</v>
      </c>
      <c r="E5">
        <v>2</v>
      </c>
      <c r="F5" t="str">
        <f t="shared" si="1"/>
        <v>new LimiteDimensionamento { Id = 4, Limite = 10000, IntervaloAcrescimo = 2500, AcrescimoEfetivos = 2,  AcrescimoSuplentes = 2 },</v>
      </c>
    </row>
    <row r="6" spans="1:6" x14ac:dyDescent="0.3">
      <c r="A6" s="6" t="s">
        <v>6</v>
      </c>
      <c r="B6">
        <v>5</v>
      </c>
      <c r="C6" t="str">
        <f t="shared" si="0"/>
        <v>new Grupo { CodigoGrupo = "C-3a", Id = 5 },</v>
      </c>
      <c r="D6">
        <v>1</v>
      </c>
      <c r="E6">
        <v>1</v>
      </c>
      <c r="F6" t="str">
        <f t="shared" si="1"/>
        <v>new LimiteDimensionamento { Id = 5, Limite = 10000, IntervaloAcrescimo = 2500, AcrescimoEfetivos = 1,  AcrescimoSuplentes = 1 },</v>
      </c>
    </row>
    <row r="7" spans="1:6" x14ac:dyDescent="0.3">
      <c r="A7" s="6" t="s">
        <v>7</v>
      </c>
      <c r="B7">
        <v>6</v>
      </c>
      <c r="C7" t="str">
        <f t="shared" si="0"/>
        <v>new Grupo { CodigoGrupo = "C-4", Id = 6 },</v>
      </c>
      <c r="D7">
        <v>1</v>
      </c>
      <c r="E7">
        <v>1</v>
      </c>
      <c r="F7" t="str">
        <f t="shared" si="1"/>
        <v>new LimiteDimensionamento { Id = 6, Limite = 10000, IntervaloAcrescimo = 2500, AcrescimoEfetivos = 1,  AcrescimoSuplentes = 1 },</v>
      </c>
    </row>
    <row r="8" spans="1:6" x14ac:dyDescent="0.3">
      <c r="A8" s="6" t="s">
        <v>8</v>
      </c>
      <c r="B8">
        <v>7</v>
      </c>
      <c r="C8" t="str">
        <f t="shared" si="0"/>
        <v>new Grupo { CodigoGrupo = "C-5", Id = 7 },</v>
      </c>
      <c r="D8">
        <v>2</v>
      </c>
      <c r="E8">
        <v>2</v>
      </c>
      <c r="F8" t="str">
        <f t="shared" si="1"/>
        <v>new LimiteDimensionamento { Id = 7, Limite = 10000, IntervaloAcrescimo = 2500, AcrescimoEfetivos = 2,  AcrescimoSuplentes = 2 },</v>
      </c>
    </row>
    <row r="9" spans="1:6" x14ac:dyDescent="0.3">
      <c r="A9" s="6" t="s">
        <v>9</v>
      </c>
      <c r="B9">
        <v>8</v>
      </c>
      <c r="C9" t="str">
        <f t="shared" si="0"/>
        <v>new Grupo { CodigoGrupo = "C-5a", Id = 8 },</v>
      </c>
      <c r="D9">
        <v>1</v>
      </c>
      <c r="E9">
        <v>1</v>
      </c>
      <c r="F9" t="str">
        <f t="shared" si="1"/>
        <v>new LimiteDimensionamento { Id = 8, Limite = 10000, IntervaloAcrescimo = 2500, AcrescimoEfetivos = 1,  AcrescimoSuplentes = 1 },</v>
      </c>
    </row>
    <row r="10" spans="1:6" x14ac:dyDescent="0.3">
      <c r="A10" s="6" t="s">
        <v>10</v>
      </c>
      <c r="B10">
        <v>9</v>
      </c>
      <c r="C10" t="str">
        <f t="shared" si="0"/>
        <v>new Grupo { CodigoGrupo = "C-6", Id = 9 },</v>
      </c>
      <c r="D10">
        <v>2</v>
      </c>
      <c r="E10">
        <v>2</v>
      </c>
      <c r="F10" t="str">
        <f t="shared" si="1"/>
        <v>new LimiteDimensionamento { Id = 9, Limite = 10000, IntervaloAcrescimo = 2500, AcrescimoEfetivos = 2,  AcrescimoSuplentes = 2 },</v>
      </c>
    </row>
    <row r="11" spans="1:6" x14ac:dyDescent="0.3">
      <c r="A11" s="6" t="s">
        <v>11</v>
      </c>
      <c r="B11">
        <v>10</v>
      </c>
      <c r="C11" t="str">
        <f t="shared" si="0"/>
        <v>new Grupo { CodigoGrupo = "C-7", Id = 10 },</v>
      </c>
      <c r="D11">
        <v>1</v>
      </c>
      <c r="E11">
        <v>1</v>
      </c>
      <c r="F11" t="str">
        <f t="shared" si="1"/>
        <v>new LimiteDimensionamento { Id = 10, Limite = 10000, IntervaloAcrescimo = 2500, AcrescimoEfetivos = 1,  AcrescimoSuplentes = 1 },</v>
      </c>
    </row>
    <row r="12" spans="1:6" x14ac:dyDescent="0.3">
      <c r="A12" s="6" t="s">
        <v>12</v>
      </c>
      <c r="B12">
        <v>11</v>
      </c>
      <c r="C12" t="str">
        <f t="shared" si="0"/>
        <v>new Grupo { CodigoGrupo = "C-7a", Id = 11 },</v>
      </c>
      <c r="D12">
        <v>2</v>
      </c>
      <c r="E12">
        <v>2</v>
      </c>
      <c r="F12" t="str">
        <f t="shared" si="1"/>
        <v>new LimiteDimensionamento { Id = 11, Limite = 10000, IntervaloAcrescimo = 2500, AcrescimoEfetivos = 2,  AcrescimoSuplentes = 2 },</v>
      </c>
    </row>
    <row r="13" spans="1:6" x14ac:dyDescent="0.3">
      <c r="A13" s="6" t="s">
        <v>13</v>
      </c>
      <c r="B13">
        <v>12</v>
      </c>
      <c r="C13" t="str">
        <f t="shared" si="0"/>
        <v>new Grupo { CodigoGrupo = "C-8", Id = 12 },</v>
      </c>
      <c r="D13">
        <v>1</v>
      </c>
      <c r="E13">
        <v>1</v>
      </c>
      <c r="F13" t="str">
        <f t="shared" si="1"/>
        <v>new LimiteDimensionamento { Id = 12, Limite = 10000, IntervaloAcrescimo = 2500, AcrescimoEfetivos = 1,  AcrescimoSuplentes = 1 },</v>
      </c>
    </row>
    <row r="14" spans="1:6" x14ac:dyDescent="0.3">
      <c r="A14" s="6" t="s">
        <v>14</v>
      </c>
      <c r="B14">
        <v>13</v>
      </c>
      <c r="C14" t="str">
        <f t="shared" si="0"/>
        <v>new Grupo { CodigoGrupo = "C-9", Id = 13 },</v>
      </c>
      <c r="D14">
        <v>1</v>
      </c>
      <c r="E14">
        <v>1</v>
      </c>
      <c r="F14" t="str">
        <f t="shared" si="1"/>
        <v>new LimiteDimensionamento { Id = 13, Limite = 10000, IntervaloAcrescimo = 2500, AcrescimoEfetivos = 1,  AcrescimoSuplentes = 1 },</v>
      </c>
    </row>
    <row r="15" spans="1:6" x14ac:dyDescent="0.3">
      <c r="A15" s="6" t="s">
        <v>15</v>
      </c>
      <c r="B15">
        <v>14</v>
      </c>
      <c r="C15" t="str">
        <f t="shared" si="0"/>
        <v>new Grupo { CodigoGrupo = "C-10", Id = 14 },</v>
      </c>
      <c r="D15">
        <v>2</v>
      </c>
      <c r="E15">
        <v>2</v>
      </c>
      <c r="F15" t="str">
        <f t="shared" si="1"/>
        <v>new LimiteDimensionamento { Id = 14, Limite = 10000, IntervaloAcrescimo = 2500, AcrescimoEfetivos = 2,  AcrescimoSuplentes = 2 },</v>
      </c>
    </row>
    <row r="16" spans="1:6" x14ac:dyDescent="0.3">
      <c r="A16" s="6" t="s">
        <v>16</v>
      </c>
      <c r="B16">
        <v>15</v>
      </c>
      <c r="C16" t="str">
        <f t="shared" si="0"/>
        <v>new Grupo { CodigoGrupo = "C-11", Id = 15 },</v>
      </c>
      <c r="D16">
        <v>2</v>
      </c>
      <c r="E16">
        <v>2</v>
      </c>
      <c r="F16" t="str">
        <f t="shared" si="1"/>
        <v>new LimiteDimensionamento { Id = 15, Limite = 10000, IntervaloAcrescimo = 2500, AcrescimoEfetivos = 2,  AcrescimoSuplentes = 2 },</v>
      </c>
    </row>
    <row r="17" spans="1:6" x14ac:dyDescent="0.3">
      <c r="A17" s="6" t="s">
        <v>17</v>
      </c>
      <c r="B17">
        <v>16</v>
      </c>
      <c r="C17" t="str">
        <f t="shared" si="0"/>
        <v>new Grupo { CodigoGrupo = "C-12", Id = 16 },</v>
      </c>
      <c r="D17">
        <v>2</v>
      </c>
      <c r="E17">
        <v>2</v>
      </c>
      <c r="F17" t="str">
        <f t="shared" si="1"/>
        <v>new LimiteDimensionamento { Id = 16, Limite = 10000, IntervaloAcrescimo = 2500, AcrescimoEfetivos = 2,  AcrescimoSuplentes = 2 },</v>
      </c>
    </row>
    <row r="18" spans="1:6" x14ac:dyDescent="0.3">
      <c r="A18" s="6" t="s">
        <v>18</v>
      </c>
      <c r="B18">
        <v>17</v>
      </c>
      <c r="C18" t="str">
        <f t="shared" si="0"/>
        <v>new Grupo { CodigoGrupo = "C-13", Id = 17 },</v>
      </c>
      <c r="D18">
        <v>2</v>
      </c>
      <c r="E18">
        <v>2</v>
      </c>
      <c r="F18" t="str">
        <f t="shared" si="1"/>
        <v>new LimiteDimensionamento { Id = 17, Limite = 10000, IntervaloAcrescimo = 2500, AcrescimoEfetivos = 2,  AcrescimoSuplentes = 2 },</v>
      </c>
    </row>
    <row r="19" spans="1:6" x14ac:dyDescent="0.3">
      <c r="A19" s="6" t="s">
        <v>19</v>
      </c>
      <c r="B19">
        <v>18</v>
      </c>
      <c r="C19" t="str">
        <f t="shared" si="0"/>
        <v>new Grupo { CodigoGrupo = "C-14", Id = 18 },</v>
      </c>
      <c r="D19">
        <v>2</v>
      </c>
      <c r="E19">
        <v>2</v>
      </c>
      <c r="F19" t="str">
        <f t="shared" si="1"/>
        <v>new LimiteDimensionamento { Id = 18, Limite = 10000, IntervaloAcrescimo = 2500, AcrescimoEfetivos = 2,  AcrescimoSuplentes = 2 },</v>
      </c>
    </row>
    <row r="20" spans="1:6" x14ac:dyDescent="0.3">
      <c r="A20" s="6" t="s">
        <v>20</v>
      </c>
      <c r="B20">
        <v>19</v>
      </c>
      <c r="C20" t="str">
        <f t="shared" si="0"/>
        <v>new Grupo { CodigoGrupo = "C-14a", Id = 19 },</v>
      </c>
      <c r="D20">
        <v>1</v>
      </c>
      <c r="E20">
        <v>1</v>
      </c>
      <c r="F20" t="str">
        <f t="shared" si="1"/>
        <v>new LimiteDimensionamento { Id = 19, Limite = 10000, IntervaloAcrescimo = 2500, AcrescimoEfetivos = 1,  AcrescimoSuplentes = 1 },</v>
      </c>
    </row>
    <row r="21" spans="1:6" x14ac:dyDescent="0.3">
      <c r="A21" s="6" t="s">
        <v>21</v>
      </c>
      <c r="B21">
        <v>20</v>
      </c>
      <c r="C21" t="str">
        <f t="shared" si="0"/>
        <v>new Grupo { CodigoGrupo = "C-15", Id = 20 },</v>
      </c>
      <c r="D21">
        <v>2</v>
      </c>
      <c r="E21">
        <v>2</v>
      </c>
      <c r="F21" t="str">
        <f t="shared" si="1"/>
        <v>new LimiteDimensionamento { Id = 20, Limite = 10000, IntervaloAcrescimo = 2500, AcrescimoEfetivos = 2,  AcrescimoSuplentes = 2 },</v>
      </c>
    </row>
    <row r="22" spans="1:6" x14ac:dyDescent="0.3">
      <c r="A22" s="6" t="s">
        <v>22</v>
      </c>
      <c r="B22">
        <v>21</v>
      </c>
      <c r="C22" t="str">
        <f t="shared" si="0"/>
        <v>new Grupo { CodigoGrupo = "C-16", Id = 21 },</v>
      </c>
      <c r="D22">
        <v>2</v>
      </c>
      <c r="E22">
        <v>2</v>
      </c>
      <c r="F22" t="str">
        <f t="shared" si="1"/>
        <v>new LimiteDimensionamento { Id = 21, Limite = 10000, IntervaloAcrescimo = 2500, AcrescimoEfetivos = 2,  AcrescimoSuplentes = 2 },</v>
      </c>
    </row>
    <row r="23" spans="1:6" x14ac:dyDescent="0.3">
      <c r="A23" s="6" t="s">
        <v>23</v>
      </c>
      <c r="B23">
        <v>22</v>
      </c>
      <c r="C23" t="str">
        <f t="shared" si="0"/>
        <v>new Grupo { CodigoGrupo = "C-17", Id = 22 },</v>
      </c>
      <c r="D23">
        <v>2</v>
      </c>
      <c r="E23">
        <v>2</v>
      </c>
      <c r="F23" t="str">
        <f t="shared" si="1"/>
        <v>new LimiteDimensionamento { Id = 22, Limite = 10000, IntervaloAcrescimo = 2500, AcrescimoEfetivos = 2,  AcrescimoSuplentes = 2 },</v>
      </c>
    </row>
    <row r="24" spans="1:6" x14ac:dyDescent="0.3">
      <c r="A24" s="6" t="s">
        <v>24</v>
      </c>
      <c r="B24">
        <v>23</v>
      </c>
      <c r="C24" t="str">
        <f t="shared" si="0"/>
        <v>new Grupo { CodigoGrupo = "C-18", Id = 23 },</v>
      </c>
      <c r="D24">
        <v>2</v>
      </c>
      <c r="E24">
        <v>2</v>
      </c>
      <c r="F24" t="str">
        <f t="shared" si="1"/>
        <v>new LimiteDimensionamento { Id = 23, Limite = 10000, IntervaloAcrescimo = 2500, AcrescimoEfetivos = 2,  AcrescimoSuplentes = 2 },</v>
      </c>
    </row>
    <row r="25" spans="1:6" x14ac:dyDescent="0.3">
      <c r="A25" s="6" t="s">
        <v>25</v>
      </c>
      <c r="B25">
        <v>24</v>
      </c>
      <c r="C25" t="str">
        <f t="shared" si="0"/>
        <v>new Grupo { CodigoGrupo = "C-18a", Id = 24 },</v>
      </c>
      <c r="D25">
        <v>2</v>
      </c>
      <c r="E25">
        <v>2</v>
      </c>
      <c r="F25" t="str">
        <f t="shared" si="1"/>
        <v>new LimiteDimensionamento { Id = 24, Limite = 10000, IntervaloAcrescimo = 2500, AcrescimoEfetivos = 2,  AcrescimoSuplentes = 2 },</v>
      </c>
    </row>
    <row r="26" spans="1:6" x14ac:dyDescent="0.3">
      <c r="A26" s="6" t="s">
        <v>26</v>
      </c>
      <c r="B26">
        <v>25</v>
      </c>
      <c r="C26" t="str">
        <f t="shared" si="0"/>
        <v>new Grupo { CodigoGrupo = "C-19", Id = 25 },</v>
      </c>
      <c r="D26">
        <v>1</v>
      </c>
      <c r="E26">
        <v>1</v>
      </c>
      <c r="F26" t="str">
        <f t="shared" si="1"/>
        <v>new LimiteDimensionamento { Id = 25, Limite = 10000, IntervaloAcrescimo = 2500, AcrescimoEfetivos = 1,  AcrescimoSuplentes = 1 },</v>
      </c>
    </row>
    <row r="27" spans="1:6" x14ac:dyDescent="0.3">
      <c r="A27" s="6" t="s">
        <v>27</v>
      </c>
      <c r="B27">
        <v>26</v>
      </c>
      <c r="C27" t="str">
        <f t="shared" si="0"/>
        <v>new Grupo { CodigoGrupo = "C-20", Id = 26 },</v>
      </c>
      <c r="D27">
        <v>2</v>
      </c>
      <c r="E27">
        <v>1</v>
      </c>
      <c r="F27" t="str">
        <f t="shared" si="1"/>
        <v>new LimiteDimensionamento { Id = 26, Limite = 10000, IntervaloAcrescimo = 2500, AcrescimoEfetivos = 2,  AcrescimoSuplentes = 1 },</v>
      </c>
    </row>
    <row r="28" spans="1:6" x14ac:dyDescent="0.3">
      <c r="A28" s="6" t="s">
        <v>28</v>
      </c>
      <c r="B28">
        <v>27</v>
      </c>
      <c r="C28" t="str">
        <f t="shared" si="0"/>
        <v>new Grupo { CodigoGrupo = "C-21", Id = 27 },</v>
      </c>
      <c r="D28">
        <v>1</v>
      </c>
      <c r="E28">
        <v>1</v>
      </c>
      <c r="F28" t="str">
        <f t="shared" si="1"/>
        <v>new LimiteDimensionamento { Id = 27, Limite = 10000, IntervaloAcrescimo = 2500, AcrescimoEfetivos = 1,  AcrescimoSuplentes = 1 },</v>
      </c>
    </row>
    <row r="29" spans="1:6" x14ac:dyDescent="0.3">
      <c r="A29" s="6" t="s">
        <v>29</v>
      </c>
      <c r="B29">
        <v>28</v>
      </c>
      <c r="C29" t="str">
        <f t="shared" si="0"/>
        <v>new Grupo { CodigoGrupo = "C-22", Id = 28 },</v>
      </c>
      <c r="D29">
        <v>2</v>
      </c>
      <c r="E29">
        <v>2</v>
      </c>
      <c r="F29" t="str">
        <f t="shared" si="1"/>
        <v>new LimiteDimensionamento { Id = 28, Limite = 10000, IntervaloAcrescimo = 2500, AcrescimoEfetivos = 2,  AcrescimoSuplentes = 2 },</v>
      </c>
    </row>
    <row r="30" spans="1:6" x14ac:dyDescent="0.3">
      <c r="A30" s="6" t="s">
        <v>30</v>
      </c>
      <c r="B30">
        <v>29</v>
      </c>
      <c r="C30" t="str">
        <f t="shared" si="0"/>
        <v>new Grupo { CodigoGrupo = "C-23", Id = 29 },</v>
      </c>
      <c r="D30">
        <v>1</v>
      </c>
      <c r="E30">
        <v>1</v>
      </c>
      <c r="F30" t="str">
        <f t="shared" si="1"/>
        <v>new LimiteDimensionamento { Id = 29, Limite = 10000, IntervaloAcrescimo = 2500, AcrescimoEfetivos = 1,  AcrescimoSuplentes = 1 },</v>
      </c>
    </row>
    <row r="31" spans="1:6" x14ac:dyDescent="0.3">
      <c r="A31" s="6" t="s">
        <v>31</v>
      </c>
      <c r="B31">
        <v>30</v>
      </c>
      <c r="C31" t="str">
        <f t="shared" si="0"/>
        <v>new Grupo { CodigoGrupo = "C-24", Id = 30 },</v>
      </c>
      <c r="D31">
        <v>2</v>
      </c>
      <c r="E31">
        <v>2</v>
      </c>
      <c r="F31" t="str">
        <f t="shared" si="1"/>
        <v>new LimiteDimensionamento { Id = 30, Limite = 10000, IntervaloAcrescimo = 2500, AcrescimoEfetivos = 2,  AcrescimoSuplentes = 2 },</v>
      </c>
    </row>
    <row r="32" spans="1:6" x14ac:dyDescent="0.3">
      <c r="A32" s="6" t="s">
        <v>32</v>
      </c>
      <c r="B32">
        <v>31</v>
      </c>
      <c r="C32" t="str">
        <f t="shared" si="0"/>
        <v>new Grupo { CodigoGrupo = "C-24a", Id = 31 },</v>
      </c>
      <c r="D32">
        <v>1</v>
      </c>
      <c r="E32">
        <v>1</v>
      </c>
      <c r="F32" t="str">
        <f t="shared" si="1"/>
        <v>new LimiteDimensionamento { Id = 31, Limite = 10000, IntervaloAcrescimo = 2500, AcrescimoEfetivos = 1,  AcrescimoSuplentes = 1 },</v>
      </c>
    </row>
    <row r="33" spans="1:6" x14ac:dyDescent="0.3">
      <c r="A33" s="6" t="s">
        <v>33</v>
      </c>
      <c r="B33">
        <v>32</v>
      </c>
      <c r="C33" t="str">
        <f t="shared" si="0"/>
        <v>new Grupo { CodigoGrupo = "C-24b", Id = 32 },</v>
      </c>
      <c r="D33">
        <v>2</v>
      </c>
      <c r="E33">
        <v>2</v>
      </c>
      <c r="F33" t="str">
        <f t="shared" si="1"/>
        <v>new LimiteDimensionamento { Id = 32, Limite = 10000, IntervaloAcrescimo = 2500, AcrescimoEfetivos = 2,  AcrescimoSuplentes = 2 },</v>
      </c>
    </row>
    <row r="34" spans="1:6" x14ac:dyDescent="0.3">
      <c r="A34" s="6" t="s">
        <v>34</v>
      </c>
      <c r="B34">
        <v>33</v>
      </c>
      <c r="C34" t="str">
        <f t="shared" si="0"/>
        <v>new Grupo { CodigoGrupo = "C-24c", Id = 33 },</v>
      </c>
      <c r="D34">
        <v>1</v>
      </c>
      <c r="E34">
        <v>1</v>
      </c>
      <c r="F34" t="str">
        <f t="shared" si="1"/>
        <v>new LimiteDimensionamento { Id = 33, Limite = 10000, IntervaloAcrescimo = 2500, AcrescimoEfetivos = 1,  AcrescimoSuplentes = 1 },</v>
      </c>
    </row>
    <row r="35" spans="1:6" x14ac:dyDescent="0.3">
      <c r="A35" s="6" t="s">
        <v>35</v>
      </c>
      <c r="B35">
        <v>34</v>
      </c>
      <c r="C35" t="str">
        <f t="shared" si="0"/>
        <v>new Grupo { CodigoGrupo = "C-24d", Id = 34 },</v>
      </c>
      <c r="D35">
        <v>1</v>
      </c>
      <c r="E35">
        <v>1</v>
      </c>
      <c r="F35" t="str">
        <f t="shared" si="1"/>
        <v>new LimiteDimensionamento { Id = 34, Limite = 10000, IntervaloAcrescimo = 2500, AcrescimoEfetivos = 1,  AcrescimoSuplentes = 1 },</v>
      </c>
    </row>
    <row r="36" spans="1:6" x14ac:dyDescent="0.3">
      <c r="A36" s="6" t="s">
        <v>36</v>
      </c>
      <c r="B36">
        <v>35</v>
      </c>
      <c r="C36" t="str">
        <f t="shared" si="0"/>
        <v>new Grupo { CodigoGrupo = "C-25", Id = 35 },</v>
      </c>
      <c r="D36">
        <v>1</v>
      </c>
      <c r="E36">
        <v>1</v>
      </c>
      <c r="F36" t="str">
        <f t="shared" si="1"/>
        <v>new LimiteDimensionamento { Id = 35, Limite = 10000, IntervaloAcrescimo = 2500, AcrescimoEfetivos = 1,  AcrescimoSuplentes = 1 },</v>
      </c>
    </row>
    <row r="37" spans="1:6" x14ac:dyDescent="0.3">
      <c r="A37" s="6" t="s">
        <v>37</v>
      </c>
      <c r="B37">
        <v>36</v>
      </c>
      <c r="C37" t="str">
        <f t="shared" si="0"/>
        <v>new Grupo { CodigoGrupo = "C-26", Id = 36 },</v>
      </c>
      <c r="D37">
        <v>1</v>
      </c>
      <c r="E37">
        <v>1</v>
      </c>
      <c r="F37" t="str">
        <f t="shared" si="1"/>
        <v>new LimiteDimensionamento { Id = 36, Limite = 10000, IntervaloAcrescimo = 2500, AcrescimoEfetivos = 1,  AcrescimoSuplentes = 1 },</v>
      </c>
    </row>
    <row r="38" spans="1:6" x14ac:dyDescent="0.3">
      <c r="A38" s="6" t="s">
        <v>38</v>
      </c>
      <c r="B38">
        <v>37</v>
      </c>
      <c r="C38" t="str">
        <f t="shared" si="0"/>
        <v>new Grupo { CodigoGrupo = "C-27", Id = 37 },</v>
      </c>
      <c r="D38">
        <v>1</v>
      </c>
      <c r="E38">
        <v>1</v>
      </c>
      <c r="F38" t="str">
        <f t="shared" si="1"/>
        <v>new LimiteDimensionamento { Id = 37, Limite = 10000, IntervaloAcrescimo = 2500, AcrescimoEfetivos = 1,  AcrescimoSuplentes = 1 },</v>
      </c>
    </row>
    <row r="39" spans="1:6" x14ac:dyDescent="0.3">
      <c r="A39" s="6" t="s">
        <v>39</v>
      </c>
      <c r="B39">
        <v>38</v>
      </c>
      <c r="C39" t="str">
        <f t="shared" si="0"/>
        <v>new Grupo { CodigoGrupo = "C-28", Id = 38 },</v>
      </c>
      <c r="D39">
        <v>1</v>
      </c>
      <c r="E39">
        <v>1</v>
      </c>
      <c r="F39" t="str">
        <f t="shared" si="1"/>
        <v>new LimiteDimensionamento { Id = 38, Limite = 10000, IntervaloAcrescimo = 2500, AcrescimoEfetivos = 1,  AcrescimoSuplentes = 1 },</v>
      </c>
    </row>
    <row r="40" spans="1:6" x14ac:dyDescent="0.3">
      <c r="A40" s="6" t="s">
        <v>40</v>
      </c>
      <c r="B40">
        <v>39</v>
      </c>
      <c r="C40" t="str">
        <f t="shared" si="0"/>
        <v>new Grupo { CodigoGrupo = "C-29", Id = 39 },</v>
      </c>
      <c r="D40">
        <v>1</v>
      </c>
      <c r="E40">
        <v>1</v>
      </c>
      <c r="F40" t="str">
        <f t="shared" si="1"/>
        <v>new LimiteDimensionamento { Id = 39, Limite = 10000, IntervaloAcrescimo = 2500, AcrescimoEfetivos = 1,  AcrescimoSuplentes = 1 },</v>
      </c>
    </row>
    <row r="41" spans="1:6" x14ac:dyDescent="0.3">
      <c r="A41" s="6" t="s">
        <v>41</v>
      </c>
      <c r="B41">
        <v>40</v>
      </c>
      <c r="C41" t="str">
        <f t="shared" si="0"/>
        <v>new Grupo { CodigoGrupo = "C-30", Id = 40 },</v>
      </c>
      <c r="D41">
        <v>2</v>
      </c>
      <c r="E41">
        <v>1</v>
      </c>
      <c r="F41" t="str">
        <f t="shared" si="1"/>
        <v>new LimiteDimensionamento { Id = 40, Limite = 10000, IntervaloAcrescimo = 2500, AcrescimoEfetivos = 2,  AcrescimoSuplentes = 1 },</v>
      </c>
    </row>
    <row r="42" spans="1:6" x14ac:dyDescent="0.3">
      <c r="A42" s="6" t="s">
        <v>42</v>
      </c>
      <c r="B42">
        <v>41</v>
      </c>
      <c r="C42" t="str">
        <f t="shared" si="0"/>
        <v>new Grupo { CodigoGrupo = "C-31", Id = 41 },</v>
      </c>
      <c r="D42">
        <v>1</v>
      </c>
      <c r="E42">
        <v>1</v>
      </c>
      <c r="F42" t="str">
        <f t="shared" si="1"/>
        <v>new LimiteDimensionamento { Id = 41, Limite = 10000, IntervaloAcrescimo = 2500, AcrescimoEfetivos = 1,  AcrescimoSuplentes = 1 },</v>
      </c>
    </row>
    <row r="43" spans="1:6" x14ac:dyDescent="0.3">
      <c r="A43" s="6" t="s">
        <v>43</v>
      </c>
      <c r="B43">
        <v>42</v>
      </c>
      <c r="C43" t="str">
        <f t="shared" si="0"/>
        <v>new Grupo { CodigoGrupo = "C-32", Id = 42 },</v>
      </c>
      <c r="D43">
        <v>1</v>
      </c>
      <c r="E43">
        <v>1</v>
      </c>
      <c r="F43" t="str">
        <f t="shared" si="1"/>
        <v>new LimiteDimensionamento { Id = 42, Limite = 10000, IntervaloAcrescimo = 2500, AcrescimoEfetivos = 1,  AcrescimoSuplentes = 1 },</v>
      </c>
    </row>
    <row r="44" spans="1:6" x14ac:dyDescent="0.3">
      <c r="A44" s="6" t="s">
        <v>44</v>
      </c>
      <c r="B44">
        <v>43</v>
      </c>
      <c r="C44" t="str">
        <f t="shared" si="0"/>
        <v>new Grupo { CodigoGrupo = "C-33", Id = 43 },</v>
      </c>
      <c r="D44">
        <v>1</v>
      </c>
      <c r="E44">
        <v>1</v>
      </c>
      <c r="F44" t="str">
        <f t="shared" si="1"/>
        <v>new LimiteDimensionamento { Id = 43, Limite = 10000, IntervaloAcrescimo = 2500, AcrescimoEfetivos = 1,  AcrescimoSuplentes = 1 },</v>
      </c>
    </row>
    <row r="45" spans="1:6" x14ac:dyDescent="0.3">
      <c r="A45" s="6" t="s">
        <v>45</v>
      </c>
      <c r="B45">
        <v>44</v>
      </c>
      <c r="C45" t="str">
        <f t="shared" si="0"/>
        <v>new Grupo { CodigoGrupo = "C-34", Id = 44 },</v>
      </c>
      <c r="D45">
        <v>2</v>
      </c>
      <c r="E45">
        <v>2</v>
      </c>
      <c r="F45" t="str">
        <f t="shared" si="1"/>
        <v>new LimiteDimensionamento { Id = 44, Limite = 10000, IntervaloAcrescimo = 2500, AcrescimoEfetivos = 2,  AcrescimoSuplentes = 2 },</v>
      </c>
    </row>
    <row r="46" spans="1:6" x14ac:dyDescent="0.3">
      <c r="A46" s="6" t="s">
        <v>46</v>
      </c>
      <c r="B46">
        <v>45</v>
      </c>
      <c r="C46" t="str">
        <f t="shared" si="0"/>
        <v>new Grupo { CodigoGrupo = "C-35", Id = 45 },</v>
      </c>
      <c r="D46">
        <v>1</v>
      </c>
      <c r="E46">
        <v>1</v>
      </c>
      <c r="F46" t="str">
        <f t="shared" si="1"/>
        <v>new LimiteDimensionamento { Id = 45, Limite = 10000, IntervaloAcrescimo = 2500, AcrescimoEfetivos = 1,  AcrescimoSuplentes = 1 },</v>
      </c>
    </row>
  </sheetData>
  <sortState ref="A1:A90">
    <sortCondition ref="A1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Tabela</vt:lpstr>
      <vt:lpstr>Dimensionamento</vt:lpstr>
      <vt:lpstr>Grupos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 Gomes</dc:creator>
  <cp:lastModifiedBy>Igor Gomes Oliveira</cp:lastModifiedBy>
  <dcterms:created xsi:type="dcterms:W3CDTF">2019-08-21T23:10:12Z</dcterms:created>
  <dcterms:modified xsi:type="dcterms:W3CDTF">2019-11-13T20:40:24Z</dcterms:modified>
</cp:coreProperties>
</file>